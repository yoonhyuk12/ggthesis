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원자료_통합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코딩자료" sheetId="3" state="visible" r:id="rId3"/>
    <sheet xmlns:r="http://schemas.openxmlformats.org/officeDocument/2006/relationships" name="분석자료" sheetId="4" state="visible" r:id="rId4"/>
    <sheet xmlns:r="http://schemas.openxmlformats.org/officeDocument/2006/relationships" name="코드북" sheetId="5" state="visible" r:id="rId5"/>
    <sheet xmlns:r="http://schemas.openxmlformats.org/officeDocument/2006/relationships" name="빈도_기술통계" sheetId="6" state="visible" r:id="rId6"/>
    <sheet xmlns:r="http://schemas.openxmlformats.org/officeDocument/2006/relationships" name="검토메모" sheetId="7" state="visible" r:id="rId7"/>
  </sheets>
  <definedNames>
    <definedName name="_xlnm._FilterDatabase" localSheetId="0" hidden="1">'원자료_통합'!$A$1:$AP$74</definedName>
    <definedName name="_xlnm._FilterDatabase" localSheetId="2" hidden="1">'코딩자료'!$A$1:$BB$74</definedName>
    <definedName name="_xlnm._FilterDatabase" localSheetId="3" hidden="1">'분석자료'!$A$1:$BA$74</definedName>
    <definedName name="_xlnm._FilterDatabase" localSheetId="4" hidden="1">'코드북'!$A$1:$H$54</definedName>
    <definedName name="_xlnm._FilterDatabase" localSheetId="6" hidden="1">'검토메모'!$A$1:$G$24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0.000"/>
    <numFmt numFmtId="166" formatCode="0.0%"/>
    <numFmt numFmtId="167" formatCode="&quot;결측 &quot;0"/>
  </numFmts>
  <fonts count="8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0"/>
    </font>
    <font>
      <name val="맑은 고딕"/>
      <charset val="129"/>
      <family val="3"/>
      <color rgb="FF0000FF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sz val="11"/>
    </font>
    <font>
      <name val="맑은 고딕"/>
      <charset val="129"/>
      <family val="3"/>
      <i val="1"/>
      <color rgb="FF595959"/>
      <sz val="9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1" pivotButton="0" quotePrefix="0" xfId="0"/>
    <xf numFmtId="164" fontId="2" fillId="0" borderId="1" pivotButton="0" quotePrefix="0" xfId="0"/>
    <xf numFmtId="165" fontId="3" fillId="0" borderId="1" pivotButton="0" quotePrefix="0" xfId="0"/>
    <xf numFmtId="1" fontId="3" fillId="0" borderId="1" pivotButton="0" quotePrefix="0" xfId="0"/>
    <xf numFmtId="165" fontId="2" fillId="0" borderId="1" pivotButton="0" quotePrefix="0" xfId="0"/>
    <xf numFmtId="0" fontId="3" fillId="0" borderId="1" applyAlignment="1" pivotButton="0" quotePrefix="0" xfId="0">
      <alignment vertical="top" wrapText="1"/>
    </xf>
    <xf numFmtId="0" fontId="5" fillId="0" borderId="0" pivotButton="0" quotePrefix="0" xfId="0"/>
    <xf numFmtId="0" fontId="1" fillId="3" borderId="1" pivotButton="0" quotePrefix="0" xfId="0"/>
    <xf numFmtId="0" fontId="6" fillId="0" borderId="0" pivotButton="0" quotePrefix="0" xfId="0"/>
    <xf numFmtId="0" fontId="2" fillId="3" borderId="1" pivotButton="0" quotePrefix="0" xfId="0"/>
    <xf numFmtId="0" fontId="3" fillId="0" borderId="1" applyAlignment="1" pivotButton="0" quotePrefix="0" xfId="0">
      <alignment vertical="center" wrapText="1"/>
    </xf>
    <xf numFmtId="166" fontId="3" fillId="0" borderId="1" pivotButton="0" quotePrefix="0" xfId="0"/>
    <xf numFmtId="0" fontId="3" fillId="4" borderId="1" applyAlignment="1" pivotButton="0" quotePrefix="0" xfId="0">
      <alignment vertical="center" wrapText="1"/>
    </xf>
    <xf numFmtId="1" fontId="3" fillId="4" borderId="1" pivotButton="0" quotePrefix="0" xfId="0"/>
    <xf numFmtId="167" fontId="3" fillId="4" borderId="1" pivotButton="0" quotePrefix="0" xfId="0"/>
    <xf numFmtId="0" fontId="1" fillId="0" borderId="1" applyAlignment="1" pivotButton="0" quotePrefix="0" xfId="0">
      <alignment vertical="center" wrapText="1"/>
    </xf>
    <xf numFmtId="2" fontId="3" fillId="0" borderId="1" pivotButton="0" quotePrefix="0" xfId="0"/>
    <xf numFmtId="0" fontId="3" fillId="0" borderId="1" pivotButton="0" quotePrefix="0" xfId="0"/>
    <xf numFmtId="164" fontId="2" fillId="0" borderId="1" pivotButton="0" quotePrefix="0" xfId="0"/>
    <xf numFmtId="165" fontId="3" fillId="0" borderId="1" pivotButton="0" quotePrefix="0" xfId="0"/>
    <xf numFmtId="165" fontId="2" fillId="0" borderId="1" pivotButton="0" quotePrefix="0" xfId="0"/>
    <xf numFmtId="166" fontId="3" fillId="0" borderId="1" pivotButton="0" quotePrefix="0" xfId="0"/>
    <xf numFmtId="167" fontId="3" fillId="4" borderId="1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build_workbook</author>
  </authors>
  <commentList>
    <comment ref="H1" authorId="0" shapeId="0">
      <text>
        <t>A-1) 귀하의 소속 구분은?</t>
      </text>
    </comment>
    <comment ref="I1" authorId="0" shapeId="0">
      <text>
        <t>A-2) 귀하의 성별은?</t>
      </text>
    </comment>
    <comment ref="J1" authorId="0" shapeId="0">
      <text>
        <t>A-3) 응답일 현재 귀하의 만 나이는?</t>
      </text>
    </comment>
    <comment ref="K1" authorId="0" shapeId="0">
      <text>
        <t>A-4) 귀하의 건설현장 근무 경력은 약 몇 년입니까? (응답일까지 안전관리·공사감독·시공관리 등 현장 업무에 종사한 전체 기간)</t>
      </text>
    </comment>
    <comment ref="L1" authorId="0" shapeId="0">
      <text>
        <t>A-5) 현장에서 귀하가 맡고 있는 역할은?</t>
      </text>
    </comment>
    <comment ref="M1" authorId="0" shapeId="0">
      <text>
        <t>A-6) 현재 담당 현장의 총공사비 구간은?</t>
      </text>
    </comment>
    <comment ref="N1" authorId="0" shapeId="0">
      <text>
        <t>A-7) 안전관리 담당자가 현장에 없을 때(이동·사무실 업무·야간 등) 위험 상황을 알게 되는 주된 경로는 무엇입니까?</t>
      </text>
    </comment>
    <comment ref="O1" authorId="0" shapeId="0">
      <text>
        <t>A-8) 비점검 시간에 생긴 위험 상황은 보통 언제 알게 됩니까?</t>
      </text>
    </comment>
    <comment ref="P1" authorId="0" shapeId="0">
      <text>
        <t>A-9) 위험 상황을 알고 난 뒤 현장에 조치 지시가 전달되기까지 보통 얼마나 걸립니까?</t>
      </text>
    </comment>
    <comment ref="Q1" authorId="0" shapeId="0">
      <text>
        <t>B-1) 우리 현장에서는 위험 상황을 조기에 인지한다.</t>
      </text>
    </comment>
    <comment ref="R1" authorId="0" shapeId="0">
      <text>
        <t>B-2) 우리 현장에서는 위험 상황을 인지하면 초동 대응을 빠르게 지시한다.</t>
      </text>
    </comment>
    <comment ref="S1" authorId="0" shapeId="0">
      <text>
        <t>B-3) 우리 현장에서는 안전관리 담당자가 현장 밖에서도 위험 상황을 신속하게 파악한다.</t>
      </text>
    </comment>
    <comment ref="T1" authorId="0" shapeId="0">
      <text>
        <t>B-4) 우리 현장에서는 멀리 떨어진 곳에서도 위험 정보와 조치 필요사항을 원활하게 공유한다.</t>
      </text>
    </comment>
    <comment ref="U1" authorId="0" shapeId="0">
      <text>
        <t>B-5) 우리 현장에서는 제한된 인력으로도 현장 순찰과 위험 확인 업무를 효율적으로 수행한다.</t>
      </text>
    </comment>
    <comment ref="V1" authorId="0" shapeId="0">
      <text>
        <t>B-6) 우리 현장에서는 불필요한 확인 업무에 쫓기지 않고 실제 위험 대응에 집중한다.</t>
      </text>
    </comment>
    <comment ref="W1" authorId="0" shapeId="0">
      <text>
        <t>B-7) 우리 현장에서는 필요한 경우 시정·작업중지 등 통제 조치를 신속하게 시행한다.</t>
      </text>
    </comment>
    <comment ref="X1" authorId="0" shapeId="0">
      <text>
        <t>B-8) 우리 현장에서는 사고로 이어질 수 있는 위험요인을 실질적으로 통제한다.</t>
      </text>
    </comment>
    <comment ref="Y1" authorId="0" shapeId="0">
      <text>
        <t>C-1) 우리 현장은 고가의 스마트 안전장비를 도입하기에는 예산이 부족하다.</t>
      </text>
    </comment>
    <comment ref="Z1" authorId="0" shapeId="0">
      <text>
        <t>C-2) 우리 현장은 스마트 안전장비나 관제 시스템 도입에 쓸 안전관리 예산이 부족하게 편성되어 있다.</t>
      </text>
    </comment>
    <comment ref="AA1" authorId="0" shapeId="0">
      <text>
        <t>C-3) 우리 현장은 산업안전보건관리비 계상 기준만으로는 스마트 안전장비나 관제 시스템을 도입하기 어렵다.</t>
      </text>
    </comment>
    <comment ref="AB1" authorId="0" shapeId="0">
      <text>
        <t>C-4) 우리 현장은 소속 기관인 본사나 발주청으로부터 스마트 안전장비나 관제 시스템 도입 예산을 별도로 지원받기 어렵다.</t>
      </text>
    </comment>
    <comment ref="AC1" authorId="0" shapeId="0">
      <text>
        <t>D-1) 본 시스템은 일반 사무용 PC로 구동되어 고가 AI 서버 등 별도 장비에 대한 투자 부담이 적다.</t>
      </text>
    </comment>
    <comment ref="AD1" authorId="0" shapeId="0">
      <text>
        <t>D-2) 본 시스템은 제조사가 다른 기존 현장 카메라와도 호환되어 카메라를 교체하지 않고 도입할 수 있다.</t>
      </text>
    </comment>
    <comment ref="AE1" authorId="0" shapeId="0">
      <text>
        <t>D-3) 본 시스템은 짧은 시간에 알림이 몰려도 느려지거나 멈추지 않고 안정적으로 작동한다.</t>
      </text>
    </comment>
    <comment ref="AF1" authorId="0" shapeId="0">
      <text>
        <t>D-4) 본 시스템은 통신 상태가 좋지 않은 현장에서도 위험 여부를 가려내는 기능이 안정적으로 작동한다.</t>
      </text>
    </comment>
    <comment ref="AG1" authorId="0" shapeId="0">
      <text>
        <t>D-5) 본 시스템은 현장의 나무나 그림자 같은 배경을 사람이나 위험 요소로 잘못 알리는 일이 드물다.</t>
      </text>
    </comment>
    <comment ref="AH1" authorId="0" shapeId="0">
      <text>
        <t>D-6) 본 시스템은 정상 작업을 위험으로 잘못 알리는 일이 드물다.</t>
      </text>
    </comment>
    <comment ref="AI1" authorId="0" shapeId="0">
      <text>
        <t>D-7) 위험 상황이 발생하면 위험 요약과 이미지가 모바일 메신저로 신속하게 전달된다.</t>
      </text>
    </comment>
    <comment ref="AJ1" authorId="0" shapeId="0">
      <text>
        <t>D-8) 모바일 메신저로 받은 알림만으로도 현장 상황을 쉽게 파악할 수 있다.</t>
      </text>
    </comment>
    <comment ref="AK1" authorId="0" shapeId="0">
      <text>
        <t>E-1) 본 시스템이 위험이 아닌 상황을 걸러 주어 잦은 알림 확인에 따른 스트레스가 줄었다.</t>
      </text>
    </comment>
    <comment ref="AL1" authorId="0" shapeId="0">
      <text>
        <t>E-2) 불필요한 알림을 확인하는 시간이 줄어 핵심 업무에 더 집중하게 되었다.</t>
      </text>
    </comment>
    <comment ref="AM1" authorId="0" shapeId="0">
      <text>
        <t>E-3) 알림이 오면 ‘또 잘못 온 알림’으로 여겨 무시하기보다 바로 확인하는 경우가 늘었다.</t>
      </text>
    </comment>
    <comment ref="AN1" authorId="0" shapeId="0">
      <text>
        <t>E-4) 본 시스템 도입 이후 알림으로 인한 피로감이 줄었다.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"/>
  <cols>
    <col width="9.33203125" customWidth="1" min="1" max="1"/>
    <col width="7.6640625" customWidth="1" min="2" max="2"/>
    <col width="21" customWidth="1" min="3" max="3"/>
    <col width="30" customWidth="1" min="4" max="4"/>
    <col width="7.25" customWidth="1" min="5" max="5"/>
    <col width="30" customWidth="1" min="6" max="6"/>
    <col width="7.6640625" customWidth="1" min="7" max="7"/>
    <col width="29" customWidth="1" min="8" max="8"/>
    <col width="6" customWidth="1" min="9" max="11"/>
    <col width="19.33203125" customWidth="1" min="12" max="12"/>
    <col width="28.58203125" customWidth="1" min="13" max="13"/>
    <col width="30" customWidth="1" min="14" max="14"/>
    <col width="27.9140625" customWidth="1" min="15" max="15"/>
    <col width="29.1640625" customWidth="1" min="16" max="16"/>
    <col width="20.33203125" customWidth="1" min="17" max="17"/>
    <col width="15.5" customWidth="1" min="18" max="18"/>
    <col width="20.33203125" customWidth="1" min="19" max="22"/>
    <col width="15.5" customWidth="1" min="23" max="23"/>
    <col width="20.33203125" customWidth="1" min="24" max="30"/>
    <col width="15.5" customWidth="1" min="31" max="31"/>
    <col width="20.33203125" customWidth="1" min="32" max="32"/>
    <col width="15.5" customWidth="1" min="33" max="33"/>
    <col width="20.33203125" customWidth="1" min="34" max="34"/>
    <col width="15.5" customWidth="1" min="35" max="36"/>
    <col width="20.33203125" customWidth="1" min="37" max="38"/>
    <col width="15.5" customWidth="1" min="39" max="39"/>
    <col width="20.33203125" customWidth="1" min="40" max="40"/>
    <col width="9.33203125" customWidth="1" min="41" max="41"/>
    <col width="30" customWidth="1" min="42" max="42"/>
  </cols>
  <sheetData>
    <row r="1">
      <c r="A1" s="4" t="inlineStr">
        <is>
          <t>resp_id</t>
        </is>
      </c>
      <c r="B1" s="4" t="inlineStr">
        <is>
          <t>원본행</t>
        </is>
      </c>
      <c r="C1" s="4" t="inlineStr">
        <is>
          <t>타임스탬프</t>
        </is>
      </c>
      <c r="D1" s="4" t="inlineStr">
        <is>
          <t>집단</t>
        </is>
      </c>
      <c r="E1" s="4" t="inlineStr">
        <is>
          <t>group</t>
        </is>
      </c>
      <c r="F1" s="4" t="inlineStr">
        <is>
          <t>현장명</t>
        </is>
      </c>
      <c r="G1" s="4" t="inlineStr">
        <is>
          <t>성명</t>
        </is>
      </c>
      <c r="H1" s="4" t="inlineStr">
        <is>
          <t>A-1</t>
        </is>
      </c>
      <c r="I1" s="4" t="inlineStr">
        <is>
          <t>A-2</t>
        </is>
      </c>
      <c r="J1" s="4" t="inlineStr">
        <is>
          <t>A-3</t>
        </is>
      </c>
      <c r="K1" s="4" t="inlineStr">
        <is>
          <t>A-4</t>
        </is>
      </c>
      <c r="L1" s="4" t="inlineStr">
        <is>
          <t>A-5</t>
        </is>
      </c>
      <c r="M1" s="4" t="inlineStr">
        <is>
          <t>A-6</t>
        </is>
      </c>
      <c r="N1" s="4" t="inlineStr">
        <is>
          <t>A-7</t>
        </is>
      </c>
      <c r="O1" s="4" t="inlineStr">
        <is>
          <t>A-8</t>
        </is>
      </c>
      <c r="P1" s="4" t="inlineStr">
        <is>
          <t>A-9</t>
        </is>
      </c>
      <c r="Q1" s="4" t="inlineStr">
        <is>
          <t>B-1</t>
        </is>
      </c>
      <c r="R1" s="4" t="inlineStr">
        <is>
          <t>B-2</t>
        </is>
      </c>
      <c r="S1" s="4" t="inlineStr">
        <is>
          <t>B-3</t>
        </is>
      </c>
      <c r="T1" s="4" t="inlineStr">
        <is>
          <t>B-4</t>
        </is>
      </c>
      <c r="U1" s="4" t="inlineStr">
        <is>
          <t>B-5</t>
        </is>
      </c>
      <c r="V1" s="4" t="inlineStr">
        <is>
          <t>B-6</t>
        </is>
      </c>
      <c r="W1" s="4" t="inlineStr">
        <is>
          <t>B-7</t>
        </is>
      </c>
      <c r="X1" s="4" t="inlineStr">
        <is>
          <t>B-8</t>
        </is>
      </c>
      <c r="Y1" s="4" t="inlineStr">
        <is>
          <t>C-1</t>
        </is>
      </c>
      <c r="Z1" s="4" t="inlineStr">
        <is>
          <t>C-2</t>
        </is>
      </c>
      <c r="AA1" s="4" t="inlineStr">
        <is>
          <t>C-3</t>
        </is>
      </c>
      <c r="AB1" s="4" t="inlineStr">
        <is>
          <t>C-4</t>
        </is>
      </c>
      <c r="AC1" s="4" t="inlineStr">
        <is>
          <t>D-1</t>
        </is>
      </c>
      <c r="AD1" s="4" t="inlineStr">
        <is>
          <t>D-2</t>
        </is>
      </c>
      <c r="AE1" s="4" t="inlineStr">
        <is>
          <t>D-3</t>
        </is>
      </c>
      <c r="AF1" s="4" t="inlineStr">
        <is>
          <t>D-4</t>
        </is>
      </c>
      <c r="AG1" s="4" t="inlineStr">
        <is>
          <t>D-5</t>
        </is>
      </c>
      <c r="AH1" s="4" t="inlineStr">
        <is>
          <t>D-6</t>
        </is>
      </c>
      <c r="AI1" s="4" t="inlineStr">
        <is>
          <t>D-7</t>
        </is>
      </c>
      <c r="AJ1" s="4" t="inlineStr">
        <is>
          <t>D-8</t>
        </is>
      </c>
      <c r="AK1" s="4" t="inlineStr">
        <is>
          <t>E-1</t>
        </is>
      </c>
      <c r="AL1" s="4" t="inlineStr">
        <is>
          <t>E-2</t>
        </is>
      </c>
      <c r="AM1" s="4" t="inlineStr">
        <is>
          <t>E-3</t>
        </is>
      </c>
      <c r="AN1" s="4" t="inlineStr">
        <is>
          <t>E-4</t>
        </is>
      </c>
      <c r="AO1" s="4" t="inlineStr">
        <is>
          <t>include</t>
        </is>
      </c>
      <c r="AP1" s="4" t="inlineStr">
        <is>
          <t>exclude_reason</t>
        </is>
      </c>
    </row>
    <row r="2">
      <c r="A2" s="6" t="inlineStr">
        <is>
          <t>R001</t>
        </is>
      </c>
      <c r="B2" s="6" t="n">
        <v>2</v>
      </c>
      <c r="C2" s="24" t="n">
        <v>46309.43856795139</v>
      </c>
      <c r="D2" s="6" t="inlineStr">
        <is>
          <t>CCTV YOLO-LLM 안전알림 도입 현장</t>
        </is>
      </c>
      <c r="E2" s="6" t="n">
        <v>1</v>
      </c>
      <c r="F2" s="6" t="inlineStr">
        <is>
          <t>테스트</t>
        </is>
      </c>
      <c r="G2" s="6" t="inlineStr">
        <is>
          <t>진정한</t>
        </is>
      </c>
      <c r="H2" s="6" t="inlineStr">
        <is>
          <t>발주청(공사감독·감리원 포함)</t>
        </is>
      </c>
      <c r="I2" s="6" t="inlineStr">
        <is>
          <t>남성</t>
        </is>
      </c>
      <c r="J2" s="6" t="n">
        <v>34</v>
      </c>
      <c r="K2" s="6" t="n">
        <v>6</v>
      </c>
      <c r="L2" s="6" t="inlineStr">
        <is>
          <t>공사감독</t>
        </is>
      </c>
      <c r="M2" s="6" t="inlineStr">
        <is>
          <t>50억 원 이상∼120억 원 미만</t>
        </is>
      </c>
      <c r="N2" s="6" t="inlineStr">
        <is>
          <t>사무실 등에서 CCTV 화면을 직접 본다</t>
        </is>
      </c>
      <c r="O2" s="6" t="inlineStr">
        <is>
          <t>발생 직후 알림으로</t>
        </is>
      </c>
      <c r="P2" s="6" t="inlineStr">
        <is>
          <t>5분 초과∼30분</t>
        </is>
      </c>
      <c r="Q2" s="6" t="n">
        <v>3</v>
      </c>
      <c r="R2" s="6" t="n">
        <v>3</v>
      </c>
      <c r="S2" s="6" t="n">
        <v>3</v>
      </c>
      <c r="T2" s="6" t="n">
        <v>3</v>
      </c>
      <c r="U2" s="6" t="n">
        <v>3</v>
      </c>
      <c r="V2" s="6" t="n">
        <v>3</v>
      </c>
      <c r="W2" s="6" t="n">
        <v>3</v>
      </c>
      <c r="X2" s="6" t="n">
        <v>3</v>
      </c>
      <c r="Y2" s="6" t="n">
        <v>3</v>
      </c>
      <c r="Z2" s="6" t="n">
        <v>3</v>
      </c>
      <c r="AA2" s="6" t="n">
        <v>3</v>
      </c>
      <c r="AB2" s="6" t="n">
        <v>3</v>
      </c>
      <c r="AC2" s="6" t="n">
        <v>3</v>
      </c>
      <c r="AD2" s="6" t="n">
        <v>3</v>
      </c>
      <c r="AE2" s="6" t="n">
        <v>3</v>
      </c>
      <c r="AF2" s="6" t="n">
        <v>3</v>
      </c>
      <c r="AG2" s="6" t="n">
        <v>3</v>
      </c>
      <c r="AH2" s="6" t="n">
        <v>3</v>
      </c>
      <c r="AI2" s="6" t="n">
        <v>3</v>
      </c>
      <c r="AJ2" s="6" t="n">
        <v>3</v>
      </c>
      <c r="AK2" s="6" t="n">
        <v>3</v>
      </c>
      <c r="AL2" s="6" t="n">
        <v>3</v>
      </c>
      <c r="AM2" s="6" t="n">
        <v>3</v>
      </c>
      <c r="AN2" s="6" t="n">
        <v>3</v>
      </c>
      <c r="AO2" s="6" t="n">
        <v>0</v>
      </c>
      <c r="AP2" s="6" t="inlineStr">
        <is>
          <t>시험 응답(현장명 '테스트')</t>
        </is>
      </c>
    </row>
    <row r="3">
      <c r="A3" s="6" t="inlineStr">
        <is>
          <t>R002</t>
        </is>
      </c>
      <c r="B3" s="6" t="n">
        <v>3</v>
      </c>
      <c r="C3" s="24" t="n">
        <v>46309.43933668981</v>
      </c>
      <c r="D3" s="6" t="inlineStr">
        <is>
          <t>CCTV YOLO-LLM 안전알림 도입 현장</t>
        </is>
      </c>
      <c r="E3" s="6" t="n">
        <v>1</v>
      </c>
      <c r="F3" s="6" t="inlineStr">
        <is>
          <t>없음</t>
        </is>
      </c>
      <c r="G3" s="6" t="inlineStr">
        <is>
          <t>윤혁</t>
        </is>
      </c>
      <c r="H3" s="6" t="inlineStr">
        <is>
          <t>발주청(공사감독·감리원 포함)</t>
        </is>
      </c>
      <c r="I3" s="6" t="inlineStr">
        <is>
          <t>남성</t>
        </is>
      </c>
      <c r="J3" s="6" t="n">
        <v>38</v>
      </c>
      <c r="K3" s="6" t="n">
        <v>11</v>
      </c>
      <c r="L3" s="6" t="inlineStr">
        <is>
          <t>공사감독</t>
        </is>
      </c>
      <c r="M3" s="6" t="inlineStr">
        <is>
          <t>20억 원 미만</t>
        </is>
      </c>
      <c r="N3" s="6" t="inlineStr">
        <is>
          <t>알게 될 방법이 없다</t>
        </is>
      </c>
      <c r="O3" s="6" t="inlineStr">
        <is>
          <t>다음 순찰 때</t>
        </is>
      </c>
      <c r="P3" s="6" t="inlineStr">
        <is>
          <t>즉시∼5분</t>
        </is>
      </c>
      <c r="Q3" s="6" t="n">
        <v>5</v>
      </c>
      <c r="R3" s="6" t="n">
        <v>5</v>
      </c>
      <c r="S3" s="6" t="n">
        <v>5</v>
      </c>
      <c r="T3" s="6" t="n">
        <v>5</v>
      </c>
      <c r="U3" s="6" t="n">
        <v>5</v>
      </c>
      <c r="V3" s="6" t="n">
        <v>5</v>
      </c>
      <c r="W3" s="6" t="n">
        <v>5</v>
      </c>
      <c r="X3" s="6" t="n">
        <v>5</v>
      </c>
      <c r="Y3" s="6" t="n">
        <v>5</v>
      </c>
      <c r="Z3" s="6" t="n">
        <v>5</v>
      </c>
      <c r="AA3" s="6" t="n">
        <v>5</v>
      </c>
      <c r="AB3" s="6" t="n">
        <v>5</v>
      </c>
      <c r="AC3" s="6" t="n">
        <v>5</v>
      </c>
      <c r="AD3" s="6" t="n">
        <v>5</v>
      </c>
      <c r="AE3" s="6" t="n">
        <v>5</v>
      </c>
      <c r="AF3" s="6" t="n">
        <v>5</v>
      </c>
      <c r="AG3" s="6" t="n">
        <v>5</v>
      </c>
      <c r="AH3" s="6" t="n">
        <v>5</v>
      </c>
      <c r="AI3" s="6" t="n">
        <v>5</v>
      </c>
      <c r="AJ3" s="6" t="n">
        <v>5</v>
      </c>
      <c r="AK3" s="6" t="n">
        <v>5</v>
      </c>
      <c r="AL3" s="6" t="n">
        <v>5</v>
      </c>
      <c r="AM3" s="6" t="n">
        <v>5</v>
      </c>
      <c r="AN3" s="6" t="n">
        <v>5</v>
      </c>
      <c r="AO3" s="6" t="n">
        <v>0</v>
      </c>
      <c r="AP3" s="6" t="inlineStr">
        <is>
          <t>연구자 본인 시험 응답(현장명 '없음')</t>
        </is>
      </c>
    </row>
    <row r="4">
      <c r="A4" s="6" t="inlineStr">
        <is>
          <t>R003</t>
        </is>
      </c>
      <c r="B4" s="6" t="n">
        <v>4</v>
      </c>
      <c r="C4" s="24" t="n">
        <v>46309.48227384259</v>
      </c>
      <c r="D4" s="6" t="inlineStr">
        <is>
          <t>CCTV YOLO-LLM 안전알림 미도입 현장</t>
        </is>
      </c>
      <c r="E4" s="6" t="n">
        <v>0</v>
      </c>
      <c r="F4" s="6" t="inlineStr">
        <is>
          <t>구법지구수리시설 개보수사업</t>
        </is>
      </c>
      <c r="G4" s="6" t="inlineStr">
        <is>
          <t>이택수</t>
        </is>
      </c>
      <c r="H4" s="6" t="inlineStr">
        <is>
          <t>시공사</t>
        </is>
      </c>
      <c r="I4" s="6" t="inlineStr">
        <is>
          <t>남성</t>
        </is>
      </c>
      <c r="J4" s="6" t="n">
        <v>58</v>
      </c>
      <c r="K4" s="6" t="n">
        <v>35</v>
      </c>
      <c r="L4" s="6" t="inlineStr">
        <is>
          <t>현장소장</t>
        </is>
      </c>
      <c r="M4" s="6" t="inlineStr">
        <is>
          <t>20억 원 이상∼50억 원 미만</t>
        </is>
      </c>
      <c r="N4" s="6" t="inlineStr">
        <is>
          <t>작업자나 반장의 전화·보고</t>
        </is>
      </c>
      <c r="O4" s="6" t="inlineStr">
        <is>
          <t>누군가 알려줄 때</t>
        </is>
      </c>
      <c r="P4" s="6" t="inlineStr">
        <is>
          <t>5분 초과∼30분</t>
        </is>
      </c>
      <c r="Q4" s="6" t="n">
        <v>3</v>
      </c>
      <c r="R4" s="6" t="n">
        <v>3</v>
      </c>
      <c r="S4" s="6" t="n">
        <v>2</v>
      </c>
      <c r="T4" s="6" t="n">
        <v>2</v>
      </c>
      <c r="U4" s="6" t="n">
        <v>2</v>
      </c>
      <c r="V4" s="6" t="n">
        <v>3</v>
      </c>
      <c r="W4" s="6" t="n">
        <v>3</v>
      </c>
      <c r="X4" s="6" t="n">
        <v>4</v>
      </c>
      <c r="Y4" s="6" t="n">
        <v>4</v>
      </c>
      <c r="Z4" s="6" t="n">
        <v>4</v>
      </c>
      <c r="AA4" s="6" t="n">
        <v>4</v>
      </c>
      <c r="AB4" s="6" t="n">
        <v>4</v>
      </c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>
        <v>1</v>
      </c>
      <c r="AP4" s="6" t="n"/>
    </row>
    <row r="5">
      <c r="A5" s="6" t="inlineStr">
        <is>
          <t>R004</t>
        </is>
      </c>
      <c r="B5" s="6" t="n">
        <v>5</v>
      </c>
      <c r="C5" s="24" t="n">
        <v>46310.25474277778</v>
      </c>
      <c r="D5" s="6" t="inlineStr">
        <is>
          <t>CCTV YOLO-LLM 안전알림 미도입 현장</t>
        </is>
      </c>
      <c r="E5" s="6" t="n">
        <v>0</v>
      </c>
      <c r="F5" s="6" t="inlineStr">
        <is>
          <t>신원지구 배수개선사업 토목.기계.건축공사</t>
        </is>
      </c>
      <c r="G5" s="6" t="inlineStr">
        <is>
          <t>김상운</t>
        </is>
      </c>
      <c r="H5" s="6" t="inlineStr">
        <is>
          <t>시공사</t>
        </is>
      </c>
      <c r="I5" s="6" t="inlineStr">
        <is>
          <t>남성</t>
        </is>
      </c>
      <c r="J5" s="6" t="n">
        <v>63</v>
      </c>
      <c r="K5" s="6" t="n">
        <v>34</v>
      </c>
      <c r="L5" s="6" t="inlineStr">
        <is>
          <t>현장소장</t>
        </is>
      </c>
      <c r="M5" s="6" t="inlineStr">
        <is>
          <t>50억 원 이상∼120억 원 미만</t>
        </is>
      </c>
      <c r="N5" s="6" t="inlineStr">
        <is>
          <t>작업자나 반장의 전화·보고</t>
        </is>
      </c>
      <c r="O5" s="6" t="inlineStr">
        <is>
          <t>누군가 알려줄 때</t>
        </is>
      </c>
      <c r="P5" s="6" t="inlineStr">
        <is>
          <t>5분 초과∼30분</t>
        </is>
      </c>
      <c r="Q5" s="6" t="n">
        <v>4</v>
      </c>
      <c r="R5" s="6" t="n">
        <v>4</v>
      </c>
      <c r="S5" s="6" t="n">
        <v>4</v>
      </c>
      <c r="T5" s="6" t="n">
        <v>3</v>
      </c>
      <c r="U5" s="6" t="n">
        <v>3</v>
      </c>
      <c r="V5" s="6" t="n">
        <v>4</v>
      </c>
      <c r="W5" s="6" t="n">
        <v>4</v>
      </c>
      <c r="X5" s="6" t="n">
        <v>3</v>
      </c>
      <c r="Y5" s="6" t="n">
        <v>3</v>
      </c>
      <c r="Z5" s="6" t="n">
        <v>3</v>
      </c>
      <c r="AA5" s="6" t="n">
        <v>3</v>
      </c>
      <c r="AB5" s="6" t="n">
        <v>3</v>
      </c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>
        <v>1</v>
      </c>
      <c r="AP5" s="6" t="n"/>
    </row>
    <row r="6">
      <c r="A6" s="6" t="inlineStr">
        <is>
          <t>R005</t>
        </is>
      </c>
      <c r="B6" s="6" t="n">
        <v>6</v>
      </c>
      <c r="C6" s="24" t="n">
        <v>46310.61498342593</v>
      </c>
      <c r="D6" s="6" t="inlineStr">
        <is>
          <t>CCTV YOLO-LLM 안전알림 도입 현장</t>
        </is>
      </c>
      <c r="E6" s="6" t="n">
        <v>1</v>
      </c>
      <c r="F6" s="6" t="inlineStr">
        <is>
          <t>소청 하수처리시설확충사업</t>
        </is>
      </c>
      <c r="G6" s="6" t="inlineStr">
        <is>
          <t>정운천</t>
        </is>
      </c>
      <c r="H6" s="6" t="inlineStr">
        <is>
          <t>발주청(공사감독·감리원 포함)</t>
        </is>
      </c>
      <c r="I6" s="6" t="inlineStr">
        <is>
          <t>남성</t>
        </is>
      </c>
      <c r="J6" s="6" t="n">
        <v>48</v>
      </c>
      <c r="K6" s="6" t="n">
        <v>9</v>
      </c>
      <c r="L6" s="6" t="inlineStr">
        <is>
          <t>공사감독</t>
        </is>
      </c>
      <c r="M6" s="6" t="inlineStr">
        <is>
          <t>50억 원 이상∼120억 원 미만</t>
        </is>
      </c>
      <c r="N6" s="6" t="inlineStr">
        <is>
          <t>작업자나 반장의 전화·보고</t>
        </is>
      </c>
      <c r="O6" s="6" t="inlineStr">
        <is>
          <t>다음 순찰 때</t>
        </is>
      </c>
      <c r="P6" s="6" t="inlineStr">
        <is>
          <t>즉시∼5분</t>
        </is>
      </c>
      <c r="Q6" s="6" t="n">
        <v>3</v>
      </c>
      <c r="R6" s="6" t="n">
        <v>4</v>
      </c>
      <c r="S6" s="6" t="n">
        <v>3</v>
      </c>
      <c r="T6" s="6" t="n">
        <v>4</v>
      </c>
      <c r="U6" s="6" t="n">
        <v>4</v>
      </c>
      <c r="V6" s="6" t="n">
        <v>4</v>
      </c>
      <c r="W6" s="6" t="n">
        <v>4</v>
      </c>
      <c r="X6" s="6" t="n">
        <v>4</v>
      </c>
      <c r="Y6" s="6" t="n">
        <v>3</v>
      </c>
      <c r="Z6" s="6" t="n">
        <v>3</v>
      </c>
      <c r="AA6" s="6" t="n">
        <v>3</v>
      </c>
      <c r="AB6" s="6" t="n">
        <v>3</v>
      </c>
      <c r="AC6" s="6" t="n">
        <v>3</v>
      </c>
      <c r="AD6" s="6" t="n">
        <v>3</v>
      </c>
      <c r="AE6" s="6" t="n">
        <v>4</v>
      </c>
      <c r="AF6" s="6" t="n">
        <v>4</v>
      </c>
      <c r="AG6" s="6" t="n">
        <v>4</v>
      </c>
      <c r="AH6" s="6" t="n">
        <v>3</v>
      </c>
      <c r="AI6" s="6" t="n">
        <v>4</v>
      </c>
      <c r="AJ6" s="6" t="n">
        <v>4</v>
      </c>
      <c r="AK6" s="6" t="n">
        <v>4</v>
      </c>
      <c r="AL6" s="6" t="n">
        <v>4</v>
      </c>
      <c r="AM6" s="6" t="n">
        <v>4</v>
      </c>
      <c r="AN6" s="6" t="n">
        <v>4</v>
      </c>
      <c r="AO6" s="6" t="n">
        <v>1</v>
      </c>
      <c r="AP6" s="6" t="n"/>
    </row>
    <row r="7">
      <c r="A7" s="6" t="inlineStr">
        <is>
          <t>R006</t>
        </is>
      </c>
      <c r="B7" s="6" t="n">
        <v>7</v>
      </c>
      <c r="C7" s="24" t="n">
        <v>46315.34564429398</v>
      </c>
      <c r="D7" s="6" t="inlineStr">
        <is>
          <t>CCTV YOLO-LLM 안전알림 도입 현장</t>
        </is>
      </c>
      <c r="E7" s="6" t="n">
        <v>1</v>
      </c>
      <c r="F7" s="6" t="n"/>
      <c r="G7" s="6" t="n"/>
      <c r="H7" s="6" t="inlineStr">
        <is>
          <t>시공사</t>
        </is>
      </c>
      <c r="I7" s="6" t="inlineStr">
        <is>
          <t>남성</t>
        </is>
      </c>
      <c r="J7" s="6" t="n">
        <v>50</v>
      </c>
      <c r="K7" s="6" t="n">
        <v>25</v>
      </c>
      <c r="L7" s="6" t="inlineStr">
        <is>
          <t>안전관리자</t>
        </is>
      </c>
      <c r="M7" s="6" t="inlineStr">
        <is>
          <t>120억 원 이상</t>
        </is>
      </c>
      <c r="N7" s="6" t="inlineStr">
        <is>
          <t>작업자나 반장의 전화·보고</t>
        </is>
      </c>
      <c r="O7" s="6" t="inlineStr">
        <is>
          <t>다음 순찰 때</t>
        </is>
      </c>
      <c r="P7" s="6" t="inlineStr">
        <is>
          <t>5분 초과∼30분</t>
        </is>
      </c>
      <c r="Q7" s="6" t="n">
        <v>3</v>
      </c>
      <c r="R7" s="6" t="n">
        <v>3</v>
      </c>
      <c r="S7" s="6" t="n">
        <v>4</v>
      </c>
      <c r="T7" s="6" t="n">
        <v>4</v>
      </c>
      <c r="U7" s="6" t="n">
        <v>4</v>
      </c>
      <c r="V7" s="6" t="n">
        <v>4</v>
      </c>
      <c r="W7" s="6" t="n">
        <v>4</v>
      </c>
      <c r="X7" s="6" t="n">
        <v>4</v>
      </c>
      <c r="Y7" s="6" t="n">
        <v>5</v>
      </c>
      <c r="Z7" s="6" t="n">
        <v>5</v>
      </c>
      <c r="AA7" s="6" t="n">
        <v>5</v>
      </c>
      <c r="AB7" s="6" t="n">
        <v>4</v>
      </c>
      <c r="AC7" s="6" t="n">
        <v>4</v>
      </c>
      <c r="AD7" s="6" t="n">
        <v>4</v>
      </c>
      <c r="AE7" s="6" t="n">
        <v>4</v>
      </c>
      <c r="AF7" s="6" t="n">
        <v>4</v>
      </c>
      <c r="AG7" s="6" t="n">
        <v>4</v>
      </c>
      <c r="AH7" s="6" t="n">
        <v>4</v>
      </c>
      <c r="AI7" s="6" t="n">
        <v>4</v>
      </c>
      <c r="AJ7" s="6" t="n">
        <v>4</v>
      </c>
      <c r="AK7" s="6" t="n">
        <v>4</v>
      </c>
      <c r="AL7" s="6" t="n">
        <v>4</v>
      </c>
      <c r="AM7" s="6" t="n">
        <v>4</v>
      </c>
      <c r="AN7" s="6" t="n">
        <v>4</v>
      </c>
      <c r="AO7" s="6" t="n">
        <v>1</v>
      </c>
      <c r="AP7" s="6" t="n"/>
    </row>
    <row r="8">
      <c r="A8" s="6" t="inlineStr">
        <is>
          <t>R007</t>
        </is>
      </c>
      <c r="B8" s="6" t="n">
        <v>8</v>
      </c>
      <c r="C8" s="24" t="n">
        <v>46315.34680847222</v>
      </c>
      <c r="D8" s="6" t="inlineStr">
        <is>
          <t>CCTV YOLO-LLM 안전알림 미도입 현장</t>
        </is>
      </c>
      <c r="E8" s="6" t="n">
        <v>0</v>
      </c>
      <c r="F8" s="6" t="n"/>
      <c r="G8" s="6" t="n"/>
      <c r="H8" s="6" t="inlineStr">
        <is>
          <t>시공사</t>
        </is>
      </c>
      <c r="I8" s="6" t="inlineStr">
        <is>
          <t>남성</t>
        </is>
      </c>
      <c r="J8" s="6" t="n">
        <v>51</v>
      </c>
      <c r="K8" s="6" t="n">
        <v>26</v>
      </c>
      <c r="L8" s="6" t="inlineStr">
        <is>
          <t>안전관리자</t>
        </is>
      </c>
      <c r="M8" s="6" t="inlineStr">
        <is>
          <t>120억 원 이상</t>
        </is>
      </c>
      <c r="N8" s="6" t="inlineStr">
        <is>
          <t>작업자나 반장의 전화·보고</t>
        </is>
      </c>
      <c r="O8" s="6" t="inlineStr">
        <is>
          <t>누군가 알려줄 때</t>
        </is>
      </c>
      <c r="P8" s="6" t="inlineStr">
        <is>
          <t>즉시∼5분</t>
        </is>
      </c>
      <c r="Q8" s="6" t="n">
        <v>4</v>
      </c>
      <c r="R8" s="6" t="n">
        <v>4</v>
      </c>
      <c r="S8" s="6" t="n">
        <v>4</v>
      </c>
      <c r="T8" s="6" t="n">
        <v>4</v>
      </c>
      <c r="U8" s="6" t="n">
        <v>3</v>
      </c>
      <c r="V8" s="6" t="n">
        <v>4</v>
      </c>
      <c r="W8" s="6" t="n">
        <v>4</v>
      </c>
      <c r="X8" s="6" t="n">
        <v>4</v>
      </c>
      <c r="Y8" s="6" t="n">
        <v>4</v>
      </c>
      <c r="Z8" s="6" t="n">
        <v>4</v>
      </c>
      <c r="AA8" s="6" t="n">
        <v>4</v>
      </c>
      <c r="AB8" s="6" t="n">
        <v>4</v>
      </c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>
        <v>1</v>
      </c>
      <c r="AP8" s="6" t="n"/>
    </row>
    <row r="9">
      <c r="A9" s="6" t="inlineStr">
        <is>
          <t>R008</t>
        </is>
      </c>
      <c r="B9" s="6" t="n">
        <v>9</v>
      </c>
      <c r="C9" s="24" t="n">
        <v>46315.3528905787</v>
      </c>
      <c r="D9" s="6" t="inlineStr">
        <is>
          <t>CCTV YOLO-LLM 안전알림 미도입 현장</t>
        </is>
      </c>
      <c r="E9" s="6" t="n">
        <v>0</v>
      </c>
      <c r="F9" s="6" t="n"/>
      <c r="G9" s="6" t="n"/>
      <c r="H9" s="6" t="inlineStr">
        <is>
          <t>시공사</t>
        </is>
      </c>
      <c r="I9" s="6" t="inlineStr">
        <is>
          <t>남성</t>
        </is>
      </c>
      <c r="J9" s="6" t="n">
        <v>43</v>
      </c>
      <c r="K9" s="6" t="n">
        <v>1</v>
      </c>
      <c r="L9" s="6" t="inlineStr">
        <is>
          <t>현장소장</t>
        </is>
      </c>
      <c r="M9" s="6" t="inlineStr">
        <is>
          <t>20억 원 이상∼50억 원 미만</t>
        </is>
      </c>
      <c r="N9" s="6" t="inlineStr">
        <is>
          <t>작업자나 반장의 전화·보고</t>
        </is>
      </c>
      <c r="O9" s="6" t="inlineStr">
        <is>
          <t>누군가 알려줄 때</t>
        </is>
      </c>
      <c r="P9" s="6" t="inlineStr">
        <is>
          <t>즉시∼5분</t>
        </is>
      </c>
      <c r="Q9" s="6" t="n">
        <v>4</v>
      </c>
      <c r="R9" s="6" t="n">
        <v>3</v>
      </c>
      <c r="S9" s="6" t="n">
        <v>3</v>
      </c>
      <c r="T9" s="6" t="n">
        <v>4</v>
      </c>
      <c r="U9" s="6" t="n">
        <v>3</v>
      </c>
      <c r="V9" s="6" t="n">
        <v>2</v>
      </c>
      <c r="W9" s="6" t="n">
        <v>3</v>
      </c>
      <c r="X9" s="6" t="n">
        <v>4</v>
      </c>
      <c r="Y9" s="6" t="n">
        <v>3</v>
      </c>
      <c r="Z9" s="6" t="n">
        <v>4</v>
      </c>
      <c r="AA9" s="6" t="n">
        <v>4</v>
      </c>
      <c r="AB9" s="6" t="n">
        <v>3</v>
      </c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>
        <v>1</v>
      </c>
      <c r="AP9" s="6" t="n"/>
    </row>
    <row r="10">
      <c r="A10" s="6" t="inlineStr">
        <is>
          <t>R009</t>
        </is>
      </c>
      <c r="B10" s="6" t="n">
        <v>10</v>
      </c>
      <c r="C10" s="24" t="n">
        <v>46315.35426550926</v>
      </c>
      <c r="D10" s="6" t="inlineStr">
        <is>
          <t>CCTV YOLO-LLM 안전알림 도입 현장</t>
        </is>
      </c>
      <c r="E10" s="6" t="n">
        <v>1</v>
      </c>
      <c r="F10" s="6" t="n"/>
      <c r="G10" s="6" t="n"/>
      <c r="H10" s="6" t="inlineStr">
        <is>
          <t>발주청(공사감독·감리원 포함)</t>
        </is>
      </c>
      <c r="I10" s="6" t="inlineStr">
        <is>
          <t>남성</t>
        </is>
      </c>
      <c r="J10" s="6" t="n">
        <v>32</v>
      </c>
      <c r="K10" s="6" t="n">
        <v>2</v>
      </c>
      <c r="L10" s="6" t="inlineStr">
        <is>
          <t>공사감독</t>
        </is>
      </c>
      <c r="M10" s="6" t="inlineStr">
        <is>
          <t>50억 원 이상∼120억 원 미만</t>
        </is>
      </c>
      <c r="N10" s="6" t="inlineStr">
        <is>
          <t>사무실 등에서 CCTV 화면을 직접 본다</t>
        </is>
      </c>
      <c r="O10" s="6" t="inlineStr">
        <is>
          <t>누군가 알려줄 때</t>
        </is>
      </c>
      <c r="P10" s="6" t="inlineStr">
        <is>
          <t>30분 초과∼1시간</t>
        </is>
      </c>
      <c r="Q10" s="6" t="n">
        <v>5</v>
      </c>
      <c r="R10" s="6" t="n">
        <v>5</v>
      </c>
      <c r="S10" s="6" t="n">
        <v>5</v>
      </c>
      <c r="T10" s="6" t="n">
        <v>5</v>
      </c>
      <c r="U10" s="6" t="n">
        <v>5</v>
      </c>
      <c r="V10" s="6" t="n">
        <v>5</v>
      </c>
      <c r="W10" s="6" t="n">
        <v>5</v>
      </c>
      <c r="X10" s="6" t="n">
        <v>5</v>
      </c>
      <c r="Y10" s="6" t="n">
        <v>3</v>
      </c>
      <c r="Z10" s="6" t="n">
        <v>3</v>
      </c>
      <c r="AA10" s="6" t="n">
        <v>2</v>
      </c>
      <c r="AB10" s="6" t="n">
        <v>2</v>
      </c>
      <c r="AC10" s="6" t="n">
        <v>5</v>
      </c>
      <c r="AD10" s="6" t="n">
        <v>5</v>
      </c>
      <c r="AE10" s="6" t="n">
        <v>5</v>
      </c>
      <c r="AF10" s="6" t="n">
        <v>5</v>
      </c>
      <c r="AG10" s="6" t="n">
        <v>5</v>
      </c>
      <c r="AH10" s="6" t="n">
        <v>5</v>
      </c>
      <c r="AI10" s="6" t="n">
        <v>5</v>
      </c>
      <c r="AJ10" s="6" t="n">
        <v>5</v>
      </c>
      <c r="AK10" s="6" t="n">
        <v>5</v>
      </c>
      <c r="AL10" s="6" t="n">
        <v>5</v>
      </c>
      <c r="AM10" s="6" t="n">
        <v>5</v>
      </c>
      <c r="AN10" s="6" t="n">
        <v>5</v>
      </c>
      <c r="AO10" s="6" t="n">
        <v>1</v>
      </c>
      <c r="AP10" s="6" t="n"/>
    </row>
    <row r="11">
      <c r="A11" s="6" t="inlineStr">
        <is>
          <t>R010</t>
        </is>
      </c>
      <c r="B11" s="6" t="n">
        <v>11</v>
      </c>
      <c r="C11" s="24" t="n">
        <v>46315.36124057871</v>
      </c>
      <c r="D11" s="6" t="inlineStr">
        <is>
          <t>CCTV YOLO-LLM 안전알림 도입 현장</t>
        </is>
      </c>
      <c r="E11" s="6" t="n">
        <v>1</v>
      </c>
      <c r="F11" s="6" t="n"/>
      <c r="G11" s="6" t="n"/>
      <c r="H11" s="6" t="inlineStr">
        <is>
          <t>발주청(공사감독·감리원 포함)</t>
        </is>
      </c>
      <c r="I11" s="6" t="inlineStr">
        <is>
          <t>남성</t>
        </is>
      </c>
      <c r="J11" s="6" t="n">
        <v>32</v>
      </c>
      <c r="K11" s="6" t="n">
        <v>5</v>
      </c>
      <c r="L11" s="6" t="inlineStr">
        <is>
          <t>공사감독</t>
        </is>
      </c>
      <c r="M11" s="6" t="inlineStr">
        <is>
          <t>20억 원 이상∼50억 원 미만</t>
        </is>
      </c>
      <c r="N11" s="6" t="inlineStr">
        <is>
          <t>자동 알림(문자·메신저·앱)을 받는다</t>
        </is>
      </c>
      <c r="O11" s="6" t="inlineStr">
        <is>
          <t>발생 직후 알림으로</t>
        </is>
      </c>
      <c r="P11" s="6" t="inlineStr">
        <is>
          <t>5분 초과∼30분</t>
        </is>
      </c>
      <c r="Q11" s="6" t="n">
        <v>2</v>
      </c>
      <c r="R11" s="6" t="n">
        <v>3</v>
      </c>
      <c r="S11" s="6" t="n">
        <v>3</v>
      </c>
      <c r="T11" s="6" t="n">
        <v>3</v>
      </c>
      <c r="U11" s="6" t="n">
        <v>3</v>
      </c>
      <c r="V11" s="6" t="n">
        <v>3</v>
      </c>
      <c r="W11" s="6" t="n">
        <v>4</v>
      </c>
      <c r="X11" s="6" t="n">
        <v>3</v>
      </c>
      <c r="Y11" s="6" t="n">
        <v>4</v>
      </c>
      <c r="Z11" s="6" t="n">
        <v>4</v>
      </c>
      <c r="AA11" s="6" t="n">
        <v>4</v>
      </c>
      <c r="AB11" s="6" t="n">
        <v>4</v>
      </c>
      <c r="AC11" s="6" t="n">
        <v>4</v>
      </c>
      <c r="AD11" s="6" t="n">
        <v>3</v>
      </c>
      <c r="AE11" s="6" t="n">
        <v>3</v>
      </c>
      <c r="AF11" s="6" t="n">
        <v>3</v>
      </c>
      <c r="AG11" s="6" t="n">
        <v>2</v>
      </c>
      <c r="AH11" s="6" t="n">
        <v>2</v>
      </c>
      <c r="AI11" s="6" t="n">
        <v>4</v>
      </c>
      <c r="AJ11" s="6" t="n">
        <v>3</v>
      </c>
      <c r="AK11" s="6" t="n">
        <v>3</v>
      </c>
      <c r="AL11" s="6" t="n">
        <v>3</v>
      </c>
      <c r="AM11" s="6" t="n">
        <v>3</v>
      </c>
      <c r="AN11" s="6" t="n">
        <v>3</v>
      </c>
      <c r="AO11" s="6" t="n">
        <v>1</v>
      </c>
      <c r="AP11" s="6" t="n"/>
    </row>
    <row r="12">
      <c r="A12" s="6" t="inlineStr">
        <is>
          <t>R011</t>
        </is>
      </c>
      <c r="B12" s="6" t="n">
        <v>12</v>
      </c>
      <c r="C12" s="24" t="n">
        <v>46315.37103490741</v>
      </c>
      <c r="D12" s="6" t="inlineStr">
        <is>
          <t>CCTV YOLO-LLM 안전알림 도입 현장</t>
        </is>
      </c>
      <c r="E12" s="6" t="n">
        <v>1</v>
      </c>
      <c r="F12" s="6" t="n"/>
      <c r="G12" s="6" t="n"/>
      <c r="H12" s="6" t="inlineStr">
        <is>
          <t>발주청(공사감독·감리원 포함)</t>
        </is>
      </c>
      <c r="I12" s="6" t="inlineStr">
        <is>
          <t>남성</t>
        </is>
      </c>
      <c r="J12" s="6" t="n">
        <v>49</v>
      </c>
      <c r="K12" s="6" t="n">
        <v>1</v>
      </c>
      <c r="L12" s="6" t="inlineStr">
        <is>
          <t>공사감독</t>
        </is>
      </c>
      <c r="M12" s="6" t="inlineStr">
        <is>
          <t>50억 원 이상∼120억 원 미만</t>
        </is>
      </c>
      <c r="N12" s="6" t="inlineStr">
        <is>
          <t>작업자나 반장의 전화·보고</t>
        </is>
      </c>
      <c r="O12" s="6" t="inlineStr">
        <is>
          <t>누군가 알려줄 때</t>
        </is>
      </c>
      <c r="P12" s="6" t="inlineStr">
        <is>
          <t>5분 초과∼30분</t>
        </is>
      </c>
      <c r="Q12" s="6" t="n">
        <v>2</v>
      </c>
      <c r="R12" s="6" t="n">
        <v>3</v>
      </c>
      <c r="S12" s="6" t="n">
        <v>3</v>
      </c>
      <c r="T12" s="6" t="n">
        <v>2</v>
      </c>
      <c r="U12" s="6" t="n">
        <v>5</v>
      </c>
      <c r="V12" s="6" t="n">
        <v>2</v>
      </c>
      <c r="W12" s="6" t="n">
        <v>3</v>
      </c>
      <c r="X12" s="6" t="n">
        <v>3</v>
      </c>
      <c r="Y12" s="6" t="n">
        <v>2</v>
      </c>
      <c r="Z12" s="6" t="n">
        <v>2</v>
      </c>
      <c r="AA12" s="6" t="n">
        <v>2</v>
      </c>
      <c r="AB12" s="6" t="n">
        <v>2</v>
      </c>
      <c r="AC12" s="6" t="n">
        <v>4</v>
      </c>
      <c r="AD12" s="6" t="n">
        <v>4</v>
      </c>
      <c r="AE12" s="6" t="n">
        <v>4</v>
      </c>
      <c r="AF12" s="6" t="n">
        <v>4</v>
      </c>
      <c r="AG12" s="6" t="n">
        <v>3</v>
      </c>
      <c r="AH12" s="6" t="n">
        <v>3</v>
      </c>
      <c r="AI12" s="6" t="n">
        <v>4</v>
      </c>
      <c r="AJ12" s="6" t="n">
        <v>4</v>
      </c>
      <c r="AK12" s="6" t="n">
        <v>3</v>
      </c>
      <c r="AL12" s="6" t="n">
        <v>3</v>
      </c>
      <c r="AM12" s="6" t="n">
        <v>2</v>
      </c>
      <c r="AN12" s="6" t="n">
        <v>2</v>
      </c>
      <c r="AO12" s="6" t="n">
        <v>1</v>
      </c>
      <c r="AP12" s="6" t="n"/>
    </row>
    <row r="13">
      <c r="A13" s="6" t="inlineStr">
        <is>
          <t>R012</t>
        </is>
      </c>
      <c r="B13" s="6" t="n">
        <v>13</v>
      </c>
      <c r="C13" s="24" t="n">
        <v>46315.40931763889</v>
      </c>
      <c r="D13" s="6" t="inlineStr">
        <is>
          <t>CCTV YOLO-LLM 안전알림 도입 현장</t>
        </is>
      </c>
      <c r="E13" s="6" t="n">
        <v>1</v>
      </c>
      <c r="F13" s="6" t="n"/>
      <c r="G13" s="6" t="n"/>
      <c r="H13" s="6" t="inlineStr">
        <is>
          <t>발주청(공사감독·감리원 포함)</t>
        </is>
      </c>
      <c r="I13" s="6" t="inlineStr">
        <is>
          <t>남성</t>
        </is>
      </c>
      <c r="J13" s="6" t="n">
        <v>30</v>
      </c>
      <c r="K13" s="6" t="n">
        <v>3</v>
      </c>
      <c r="L13" s="6" t="inlineStr">
        <is>
          <t>공사감독</t>
        </is>
      </c>
      <c r="M13" s="6" t="inlineStr">
        <is>
          <t>20억 원 이상∼50억 원 미만</t>
        </is>
      </c>
      <c r="N13" s="6" t="inlineStr">
        <is>
          <t>자동 알림(문자·메신저·앱)을 받는다</t>
        </is>
      </c>
      <c r="O13" s="6" t="inlineStr">
        <is>
          <t>누군가 알려줄 때</t>
        </is>
      </c>
      <c r="P13" s="6" t="inlineStr">
        <is>
          <t>5분 초과∼30분</t>
        </is>
      </c>
      <c r="Q13" s="6" t="n">
        <v>4</v>
      </c>
      <c r="R13" s="6" t="n">
        <v>5</v>
      </c>
      <c r="S13" s="6" t="n">
        <v>3</v>
      </c>
      <c r="T13" s="6" t="n">
        <v>4</v>
      </c>
      <c r="U13" s="6" t="n">
        <v>4</v>
      </c>
      <c r="V13" s="6" t="n">
        <v>3</v>
      </c>
      <c r="W13" s="6" t="n">
        <v>4</v>
      </c>
      <c r="X13" s="6" t="n">
        <v>4</v>
      </c>
      <c r="Y13" s="6" t="n">
        <v>2</v>
      </c>
      <c r="Z13" s="6" t="n">
        <v>2</v>
      </c>
      <c r="AA13" s="6" t="n">
        <v>3</v>
      </c>
      <c r="AB13" s="6" t="n">
        <v>5</v>
      </c>
      <c r="AC13" s="6" t="n">
        <v>5</v>
      </c>
      <c r="AD13" s="6" t="n">
        <v>4</v>
      </c>
      <c r="AE13" s="6" t="n">
        <v>4</v>
      </c>
      <c r="AF13" s="6" t="n">
        <v>3</v>
      </c>
      <c r="AG13" s="6" t="n">
        <v>4</v>
      </c>
      <c r="AH13" s="6" t="n">
        <v>4</v>
      </c>
      <c r="AI13" s="6" t="n">
        <v>5</v>
      </c>
      <c r="AJ13" s="6" t="n">
        <v>4</v>
      </c>
      <c r="AK13" s="6" t="n">
        <v>3</v>
      </c>
      <c r="AL13" s="6" t="n">
        <v>2</v>
      </c>
      <c r="AM13" s="6" t="n">
        <v>2</v>
      </c>
      <c r="AN13" s="6" t="n">
        <v>2</v>
      </c>
      <c r="AO13" s="6" t="n">
        <v>1</v>
      </c>
      <c r="AP13" s="6" t="n"/>
    </row>
    <row r="14">
      <c r="A14" s="6" t="inlineStr">
        <is>
          <t>R013</t>
        </is>
      </c>
      <c r="B14" s="6" t="n">
        <v>14</v>
      </c>
      <c r="C14" s="24" t="n">
        <v>46315.52992679398</v>
      </c>
      <c r="D14" s="6" t="inlineStr">
        <is>
          <t>CCTV YOLO-LLM 안전알림 도입 현장</t>
        </is>
      </c>
      <c r="E14" s="6" t="n">
        <v>1</v>
      </c>
      <c r="F14" s="6" t="n"/>
      <c r="G14" s="6" t="n"/>
      <c r="H14" s="6" t="inlineStr">
        <is>
          <t>시공사</t>
        </is>
      </c>
      <c r="I14" s="6" t="inlineStr">
        <is>
          <t>남성</t>
        </is>
      </c>
      <c r="J14" s="6" t="n">
        <v>65</v>
      </c>
      <c r="K14" s="6" t="n">
        <v>12</v>
      </c>
      <c r="L14" s="6" t="inlineStr">
        <is>
          <t>안전관리자</t>
        </is>
      </c>
      <c r="M14" s="6" t="inlineStr">
        <is>
          <t>120억 원 이상</t>
        </is>
      </c>
      <c r="N14" s="6" t="inlineStr">
        <is>
          <t>작업자나 반장의 전화·보고</t>
        </is>
      </c>
      <c r="O14" s="6" t="inlineStr">
        <is>
          <t>모르고 지나가는 경우가 많다</t>
        </is>
      </c>
      <c r="P14" s="6" t="inlineStr">
        <is>
          <t>5분 초과∼30분</t>
        </is>
      </c>
      <c r="Q14" s="6" t="n">
        <v>3</v>
      </c>
      <c r="R14" s="6" t="n">
        <v>5</v>
      </c>
      <c r="S14" s="6" t="n">
        <v>5</v>
      </c>
      <c r="T14" s="6" t="n">
        <v>5</v>
      </c>
      <c r="U14" s="6" t="n">
        <v>5</v>
      </c>
      <c r="V14" s="6" t="n">
        <v>5</v>
      </c>
      <c r="W14" s="6" t="n">
        <v>5</v>
      </c>
      <c r="X14" s="6" t="n">
        <v>5</v>
      </c>
      <c r="Y14" s="6" t="n">
        <v>5</v>
      </c>
      <c r="Z14" s="6" t="n">
        <v>5</v>
      </c>
      <c r="AA14" s="6" t="n">
        <v>5</v>
      </c>
      <c r="AB14" s="6" t="n">
        <v>5</v>
      </c>
      <c r="AC14" s="6" t="n">
        <v>5</v>
      </c>
      <c r="AD14" s="6" t="n">
        <v>5</v>
      </c>
      <c r="AE14" s="6" t="n">
        <v>5</v>
      </c>
      <c r="AF14" s="6" t="n">
        <v>5</v>
      </c>
      <c r="AG14" s="6" t="n">
        <v>5</v>
      </c>
      <c r="AH14" s="6" t="n">
        <v>5</v>
      </c>
      <c r="AI14" s="6" t="n">
        <v>5</v>
      </c>
      <c r="AJ14" s="6" t="n">
        <v>5</v>
      </c>
      <c r="AK14" s="6" t="n">
        <v>5</v>
      </c>
      <c r="AL14" s="6" t="n">
        <v>5</v>
      </c>
      <c r="AM14" s="6" t="n">
        <v>5</v>
      </c>
      <c r="AN14" s="6" t="n">
        <v>5</v>
      </c>
      <c r="AO14" s="6" t="n">
        <v>1</v>
      </c>
      <c r="AP14" s="6" t="n"/>
    </row>
    <row r="15">
      <c r="A15" s="6" t="inlineStr">
        <is>
          <t>R014</t>
        </is>
      </c>
      <c r="B15" s="6" t="n">
        <v>15</v>
      </c>
      <c r="C15" s="24" t="n">
        <v>46315.5300816088</v>
      </c>
      <c r="D15" s="6" t="inlineStr">
        <is>
          <t>CCTV YOLO-LLM 안전알림 도입 현장</t>
        </is>
      </c>
      <c r="E15" s="6" t="n">
        <v>1</v>
      </c>
      <c r="F15" s="6" t="n"/>
      <c r="G15" s="6" t="n"/>
      <c r="H15" s="6" t="inlineStr">
        <is>
          <t>시공사</t>
        </is>
      </c>
      <c r="I15" s="6" t="inlineStr">
        <is>
          <t>남성</t>
        </is>
      </c>
      <c r="J15" s="6" t="n">
        <v>53</v>
      </c>
      <c r="K15" s="6" t="n">
        <v>28</v>
      </c>
      <c r="L15" s="6" t="inlineStr">
        <is>
          <t>현장소장</t>
        </is>
      </c>
      <c r="M15" s="6" t="inlineStr">
        <is>
          <t>50억 원 이상∼120억 원 미만</t>
        </is>
      </c>
      <c r="N15" s="6" t="inlineStr">
        <is>
          <t>사무실 등에서 CCTV 화면을 직접 본다</t>
        </is>
      </c>
      <c r="O15" s="6" t="inlineStr">
        <is>
          <t>다음 순찰 때</t>
        </is>
      </c>
      <c r="P15" s="6" t="inlineStr">
        <is>
          <t>즉시∼5분</t>
        </is>
      </c>
      <c r="Q15" s="6" t="n">
        <v>5</v>
      </c>
      <c r="R15" s="6" t="n">
        <v>5</v>
      </c>
      <c r="S15" s="6" t="n">
        <v>5</v>
      </c>
      <c r="T15" s="6" t="n">
        <v>4</v>
      </c>
      <c r="U15" s="6" t="n">
        <v>4</v>
      </c>
      <c r="V15" s="6" t="n">
        <v>4</v>
      </c>
      <c r="W15" s="6" t="n">
        <v>5</v>
      </c>
      <c r="X15" s="6" t="n">
        <v>4</v>
      </c>
      <c r="Y15" s="6" t="n">
        <v>4</v>
      </c>
      <c r="Z15" s="6" t="n">
        <v>4</v>
      </c>
      <c r="AA15" s="6" t="n">
        <v>4</v>
      </c>
      <c r="AB15" s="6" t="n">
        <v>4</v>
      </c>
      <c r="AC15" s="6" t="n">
        <v>4</v>
      </c>
      <c r="AD15" s="6" t="n">
        <v>2</v>
      </c>
      <c r="AE15" s="6" t="n">
        <v>4</v>
      </c>
      <c r="AF15" s="6" t="n">
        <v>2</v>
      </c>
      <c r="AG15" s="6" t="n">
        <v>3</v>
      </c>
      <c r="AH15" s="6" t="n">
        <v>3</v>
      </c>
      <c r="AI15" s="6" t="n">
        <v>4</v>
      </c>
      <c r="AJ15" s="6" t="n">
        <v>3</v>
      </c>
      <c r="AK15" s="6" t="n">
        <v>4</v>
      </c>
      <c r="AL15" s="6" t="n">
        <v>4</v>
      </c>
      <c r="AM15" s="6" t="n">
        <v>2</v>
      </c>
      <c r="AN15" s="6" t="n">
        <v>4</v>
      </c>
      <c r="AO15" s="6" t="n">
        <v>1</v>
      </c>
      <c r="AP15" s="6" t="n"/>
    </row>
    <row r="16">
      <c r="A16" s="6" t="inlineStr">
        <is>
          <t>R015</t>
        </is>
      </c>
      <c r="B16" s="6" t="n">
        <v>16</v>
      </c>
      <c r="C16" s="24" t="n">
        <v>46315.53123359954</v>
      </c>
      <c r="D16" s="6" t="inlineStr">
        <is>
          <t>CCTV YOLO-LLM 안전알림 도입 현장</t>
        </is>
      </c>
      <c r="E16" s="6" t="n">
        <v>1</v>
      </c>
      <c r="F16" s="6" t="n"/>
      <c r="G16" s="6" t="n"/>
      <c r="H16" s="6" t="inlineStr">
        <is>
          <t>시공사</t>
        </is>
      </c>
      <c r="I16" s="6" t="inlineStr">
        <is>
          <t>남성</t>
        </is>
      </c>
      <c r="J16" s="6" t="n">
        <v>53</v>
      </c>
      <c r="K16" s="6" t="n">
        <v>23</v>
      </c>
      <c r="L16" s="6" t="inlineStr">
        <is>
          <t>현장소장</t>
        </is>
      </c>
      <c r="M16" s="6" t="inlineStr">
        <is>
          <t>50억 원 이상∼120억 원 미만</t>
        </is>
      </c>
      <c r="N16" s="6" t="inlineStr">
        <is>
          <t>작업자나 반장의 전화·보고</t>
        </is>
      </c>
      <c r="O16" s="6" t="inlineStr">
        <is>
          <t>누군가 알려줄 때</t>
        </is>
      </c>
      <c r="P16" s="6" t="inlineStr">
        <is>
          <t>5분 초과∼30분</t>
        </is>
      </c>
      <c r="Q16" s="6" t="n">
        <v>4</v>
      </c>
      <c r="R16" s="6" t="n">
        <v>4</v>
      </c>
      <c r="S16" s="6" t="n">
        <v>4</v>
      </c>
      <c r="T16" s="6" t="n">
        <v>3</v>
      </c>
      <c r="U16" s="6" t="n">
        <v>3</v>
      </c>
      <c r="V16" s="6" t="n">
        <v>4</v>
      </c>
      <c r="W16" s="6" t="n">
        <v>4</v>
      </c>
      <c r="X16" s="6" t="n">
        <v>4</v>
      </c>
      <c r="Y16" s="6" t="n">
        <v>3</v>
      </c>
      <c r="Z16" s="6" t="n">
        <v>3</v>
      </c>
      <c r="AA16" s="6" t="n">
        <v>5</v>
      </c>
      <c r="AB16" s="6" t="n">
        <v>4</v>
      </c>
      <c r="AC16" s="6" t="n">
        <v>3</v>
      </c>
      <c r="AD16" s="6" t="n">
        <v>3</v>
      </c>
      <c r="AE16" s="6" t="n">
        <v>3</v>
      </c>
      <c r="AF16" s="6" t="n">
        <v>3</v>
      </c>
      <c r="AG16" s="6" t="n">
        <v>3</v>
      </c>
      <c r="AH16" s="6" t="n">
        <v>3</v>
      </c>
      <c r="AI16" s="6" t="n">
        <v>4</v>
      </c>
      <c r="AJ16" s="6" t="n">
        <v>4</v>
      </c>
      <c r="AK16" s="6" t="n">
        <v>3</v>
      </c>
      <c r="AL16" s="6" t="n">
        <v>3</v>
      </c>
      <c r="AM16" s="6" t="n">
        <v>4</v>
      </c>
      <c r="AN16" s="6" t="n">
        <v>4</v>
      </c>
      <c r="AO16" s="6" t="n">
        <v>1</v>
      </c>
      <c r="AP16" s="6" t="n"/>
    </row>
    <row r="17">
      <c r="A17" s="6" t="inlineStr">
        <is>
          <t>R016</t>
        </is>
      </c>
      <c r="B17" s="6" t="n">
        <v>17</v>
      </c>
      <c r="C17" s="24" t="n">
        <v>46315.5324377662</v>
      </c>
      <c r="D17" s="6" t="inlineStr">
        <is>
          <t>CCTV YOLO-LLM 안전알림 미도입 현장</t>
        </is>
      </c>
      <c r="E17" s="6" t="n">
        <v>0</v>
      </c>
      <c r="F17" s="6" t="n"/>
      <c r="G17" s="6" t="n"/>
      <c r="H17" s="6" t="inlineStr">
        <is>
          <t>시공사</t>
        </is>
      </c>
      <c r="I17" s="6" t="inlineStr">
        <is>
          <t>남성</t>
        </is>
      </c>
      <c r="J17" s="6" t="n">
        <v>52</v>
      </c>
      <c r="K17" s="6" t="n">
        <v>25</v>
      </c>
      <c r="L17" s="6" t="inlineStr">
        <is>
          <t>현장소장</t>
        </is>
      </c>
      <c r="M17" s="6" t="inlineStr">
        <is>
          <t>50억 원 이상∼120억 원 미만</t>
        </is>
      </c>
      <c r="N17" s="6" t="inlineStr">
        <is>
          <t>사무실 등에서 CCTV 화면을 직접 본다</t>
        </is>
      </c>
      <c r="O17" s="6" t="inlineStr">
        <is>
          <t>누군가 알려줄 때</t>
        </is>
      </c>
      <c r="P17" s="6" t="inlineStr">
        <is>
          <t>즉시∼5분</t>
        </is>
      </c>
      <c r="Q17" s="6" t="n">
        <v>4</v>
      </c>
      <c r="R17" s="6" t="n">
        <v>4</v>
      </c>
      <c r="S17" s="6" t="n">
        <v>3</v>
      </c>
      <c r="T17" s="6" t="n">
        <v>4</v>
      </c>
      <c r="U17" s="6" t="n">
        <v>4</v>
      </c>
      <c r="V17" s="6" t="n">
        <v>4</v>
      </c>
      <c r="W17" s="6" t="n">
        <v>4</v>
      </c>
      <c r="X17" s="6" t="n">
        <v>4</v>
      </c>
      <c r="Y17" s="6" t="n">
        <v>2</v>
      </c>
      <c r="Z17" s="6" t="n">
        <v>2</v>
      </c>
      <c r="AA17" s="6" t="n">
        <v>4</v>
      </c>
      <c r="AB17" s="6" t="n">
        <v>1</v>
      </c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>
        <v>1</v>
      </c>
      <c r="AP17" s="6" t="n"/>
    </row>
    <row r="18">
      <c r="A18" s="6" t="inlineStr">
        <is>
          <t>R017</t>
        </is>
      </c>
      <c r="B18" s="6" t="n">
        <v>18</v>
      </c>
      <c r="C18" s="24" t="n">
        <v>46315.53403967593</v>
      </c>
      <c r="D18" s="6" t="inlineStr">
        <is>
          <t>CCTV YOLO-LLM 안전알림 도입 현장</t>
        </is>
      </c>
      <c r="E18" s="6" t="n">
        <v>1</v>
      </c>
      <c r="F18" s="6" t="n"/>
      <c r="G18" s="6" t="n"/>
      <c r="H18" s="6" t="inlineStr">
        <is>
          <t>발주청(공사감독·감리원 포함)</t>
        </is>
      </c>
      <c r="I18" s="6" t="inlineStr">
        <is>
          <t>남성</t>
        </is>
      </c>
      <c r="J18" s="6" t="n">
        <v>54</v>
      </c>
      <c r="K18" s="6" t="n">
        <v>20</v>
      </c>
      <c r="L18" s="6" t="inlineStr">
        <is>
          <t>공사감독</t>
        </is>
      </c>
      <c r="M18" s="6" t="inlineStr">
        <is>
          <t>120억 원 이상</t>
        </is>
      </c>
      <c r="N18" s="6" t="inlineStr">
        <is>
          <t>자동 알림(문자·메신저·앱)을 받는다</t>
        </is>
      </c>
      <c r="O18" s="6" t="inlineStr">
        <is>
          <t>발생 직후 알림으로</t>
        </is>
      </c>
      <c r="P18" s="6" t="inlineStr">
        <is>
          <t>5분 초과∼30분</t>
        </is>
      </c>
      <c r="Q18" s="6" t="n">
        <v>3</v>
      </c>
      <c r="R18" s="6" t="n">
        <v>4</v>
      </c>
      <c r="S18" s="6" t="n">
        <v>4</v>
      </c>
      <c r="T18" s="6" t="n">
        <v>4</v>
      </c>
      <c r="U18" s="6" t="n">
        <v>4</v>
      </c>
      <c r="V18" s="6" t="n">
        <v>4</v>
      </c>
      <c r="W18" s="6" t="n">
        <v>4</v>
      </c>
      <c r="X18" s="6" t="n">
        <v>4</v>
      </c>
      <c r="Y18" s="6" t="n">
        <v>2</v>
      </c>
      <c r="Z18" s="6" t="n">
        <v>2</v>
      </c>
      <c r="AA18" s="6" t="n">
        <v>2</v>
      </c>
      <c r="AB18" s="6" t="n">
        <v>2</v>
      </c>
      <c r="AC18" s="6" t="n">
        <v>3</v>
      </c>
      <c r="AD18" s="6" t="n">
        <v>4</v>
      </c>
      <c r="AE18" s="6" t="n">
        <v>4</v>
      </c>
      <c r="AF18" s="6" t="n">
        <v>4</v>
      </c>
      <c r="AG18" s="6" t="n">
        <v>3</v>
      </c>
      <c r="AH18" s="6" t="n">
        <v>3</v>
      </c>
      <c r="AI18" s="6" t="n">
        <v>4</v>
      </c>
      <c r="AJ18" s="6" t="n">
        <v>3</v>
      </c>
      <c r="AK18" s="6" t="n">
        <v>4</v>
      </c>
      <c r="AL18" s="6" t="n">
        <v>4</v>
      </c>
      <c r="AM18" s="6" t="n">
        <v>4</v>
      </c>
      <c r="AN18" s="6" t="n">
        <v>4</v>
      </c>
      <c r="AO18" s="6" t="n">
        <v>1</v>
      </c>
      <c r="AP18" s="6" t="n"/>
    </row>
    <row r="19">
      <c r="A19" s="6" t="inlineStr">
        <is>
          <t>R018</t>
        </is>
      </c>
      <c r="B19" s="6" t="n">
        <v>19</v>
      </c>
      <c r="C19" s="24" t="n">
        <v>46315.53545983796</v>
      </c>
      <c r="D19" s="6" t="inlineStr">
        <is>
          <t>CCTV YOLO-LLM 안전알림 미도입 현장</t>
        </is>
      </c>
      <c r="E19" s="6" t="n">
        <v>0</v>
      </c>
      <c r="F19" s="6" t="n"/>
      <c r="G19" s="6" t="n"/>
      <c r="H19" s="6" t="inlineStr">
        <is>
          <t>시공사</t>
        </is>
      </c>
      <c r="I19" s="6" t="inlineStr">
        <is>
          <t>남성</t>
        </is>
      </c>
      <c r="J19" s="6" t="n">
        <v>28</v>
      </c>
      <c r="K19" s="6" t="n">
        <v>3</v>
      </c>
      <c r="L19" s="6" t="inlineStr">
        <is>
          <t>안전관리자</t>
        </is>
      </c>
      <c r="M19" s="6" t="inlineStr">
        <is>
          <t>120억 원 이상</t>
        </is>
      </c>
      <c r="N19" s="6" t="inlineStr">
        <is>
          <t>작업자나 반장의 전화·보고</t>
        </is>
      </c>
      <c r="O19" s="6" t="inlineStr">
        <is>
          <t>누군가 알려줄 때</t>
        </is>
      </c>
      <c r="P19" s="6" t="inlineStr">
        <is>
          <t>5분 초과∼30분</t>
        </is>
      </c>
      <c r="Q19" s="6" t="n">
        <v>3</v>
      </c>
      <c r="R19" s="6" t="n">
        <v>3</v>
      </c>
      <c r="S19" s="6" t="n">
        <v>2</v>
      </c>
      <c r="T19" s="6" t="n">
        <v>2</v>
      </c>
      <c r="U19" s="6" t="n">
        <v>2</v>
      </c>
      <c r="V19" s="6" t="n">
        <v>1</v>
      </c>
      <c r="W19" s="6" t="n">
        <v>2</v>
      </c>
      <c r="X19" s="6" t="n">
        <v>4</v>
      </c>
      <c r="Y19" s="6" t="n">
        <v>1</v>
      </c>
      <c r="Z19" s="6" t="n">
        <v>1</v>
      </c>
      <c r="AA19" s="6" t="n">
        <v>1</v>
      </c>
      <c r="AB19" s="6" t="n">
        <v>1</v>
      </c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>
        <v>1</v>
      </c>
      <c r="AP19" s="6" t="n"/>
    </row>
    <row r="20">
      <c r="A20" s="6" t="inlineStr">
        <is>
          <t>R019</t>
        </is>
      </c>
      <c r="B20" s="6" t="n">
        <v>20</v>
      </c>
      <c r="C20" s="24" t="n">
        <v>46315.53549278935</v>
      </c>
      <c r="D20" s="6" t="inlineStr">
        <is>
          <t>CCTV YOLO-LLM 안전알림 도입 현장</t>
        </is>
      </c>
      <c r="E20" s="6" t="n">
        <v>1</v>
      </c>
      <c r="F20" s="6" t="n"/>
      <c r="G20" s="6" t="n"/>
      <c r="H20" s="6" t="inlineStr">
        <is>
          <t>발주청(공사감독·감리원 포함)</t>
        </is>
      </c>
      <c r="I20" s="6" t="inlineStr">
        <is>
          <t>남성</t>
        </is>
      </c>
      <c r="J20" s="6" t="n">
        <v>34</v>
      </c>
      <c r="K20" s="6" t="n">
        <v>2</v>
      </c>
      <c r="L20" s="6" t="inlineStr">
        <is>
          <t>공사감독</t>
        </is>
      </c>
      <c r="M20" s="6" t="inlineStr">
        <is>
          <t>20억 원 이상∼50억 원 미만</t>
        </is>
      </c>
      <c r="N20" s="6" t="inlineStr">
        <is>
          <t>작업자나 반장의 전화·보고</t>
        </is>
      </c>
      <c r="O20" s="6" t="inlineStr">
        <is>
          <t>다음 순찰 때</t>
        </is>
      </c>
      <c r="P20" s="6" t="inlineStr">
        <is>
          <t>5분 초과∼30분</t>
        </is>
      </c>
      <c r="Q20" s="6" t="n">
        <v>3</v>
      </c>
      <c r="R20" s="6" t="n">
        <v>4</v>
      </c>
      <c r="S20" s="6" t="n">
        <v>4</v>
      </c>
      <c r="T20" s="6" t="n">
        <v>4</v>
      </c>
      <c r="U20" s="6" t="n">
        <v>3</v>
      </c>
      <c r="V20" s="6" t="n">
        <v>3</v>
      </c>
      <c r="W20" s="6" t="n">
        <v>4</v>
      </c>
      <c r="X20" s="6" t="n">
        <v>4</v>
      </c>
      <c r="Y20" s="6" t="n">
        <v>3</v>
      </c>
      <c r="Z20" s="6" t="n">
        <v>3</v>
      </c>
      <c r="AA20" s="6" t="n">
        <v>3</v>
      </c>
      <c r="AB20" s="6" t="n">
        <v>3</v>
      </c>
      <c r="AC20" s="6" t="n">
        <v>3</v>
      </c>
      <c r="AD20" s="6" t="n">
        <v>4</v>
      </c>
      <c r="AE20" s="6" t="n">
        <v>3</v>
      </c>
      <c r="AF20" s="6" t="n">
        <v>3</v>
      </c>
      <c r="AG20" s="6" t="n">
        <v>2</v>
      </c>
      <c r="AH20" s="6" t="n">
        <v>3</v>
      </c>
      <c r="AI20" s="6" t="n">
        <v>4</v>
      </c>
      <c r="AJ20" s="6" t="n">
        <v>3</v>
      </c>
      <c r="AK20" s="6" t="n">
        <v>4</v>
      </c>
      <c r="AL20" s="6" t="n">
        <v>4</v>
      </c>
      <c r="AM20" s="6" t="n">
        <v>4</v>
      </c>
      <c r="AN20" s="6" t="n">
        <v>3</v>
      </c>
      <c r="AO20" s="6" t="n">
        <v>1</v>
      </c>
      <c r="AP20" s="6" t="n"/>
    </row>
    <row r="21">
      <c r="A21" s="6" t="inlineStr">
        <is>
          <t>R020</t>
        </is>
      </c>
      <c r="B21" s="6" t="n">
        <v>21</v>
      </c>
      <c r="C21" s="24" t="n">
        <v>46315.53732905092</v>
      </c>
      <c r="D21" s="6" t="inlineStr">
        <is>
          <t>CCTV YOLO-LLM 안전알림 미도입 현장</t>
        </is>
      </c>
      <c r="E21" s="6" t="n">
        <v>0</v>
      </c>
      <c r="F21" s="6" t="n"/>
      <c r="G21" s="6" t="n"/>
      <c r="H21" s="6" t="inlineStr">
        <is>
          <t>시공사</t>
        </is>
      </c>
      <c r="I21" s="6" t="inlineStr">
        <is>
          <t>남성</t>
        </is>
      </c>
      <c r="J21" s="6" t="n">
        <v>65</v>
      </c>
      <c r="K21" s="6" t="n">
        <v>45</v>
      </c>
      <c r="L21" s="6" t="inlineStr">
        <is>
          <t>현장소장</t>
        </is>
      </c>
      <c r="M21" s="6" t="inlineStr">
        <is>
          <t>20억 원 이상∼50억 원 미만</t>
        </is>
      </c>
      <c r="N21" s="6" t="inlineStr">
        <is>
          <t>현장상주</t>
        </is>
      </c>
      <c r="O21" s="6" t="inlineStr">
        <is>
          <t>다음 순찰 때</t>
        </is>
      </c>
      <c r="P21" s="6" t="inlineStr">
        <is>
          <t>즉시∼5분</t>
        </is>
      </c>
      <c r="Q21" s="6" t="n">
        <v>5</v>
      </c>
      <c r="R21" s="6" t="n">
        <v>5</v>
      </c>
      <c r="S21" s="6" t="n">
        <v>5</v>
      </c>
      <c r="T21" s="6" t="n">
        <v>5</v>
      </c>
      <c r="U21" s="6" t="n">
        <v>5</v>
      </c>
      <c r="V21" s="6" t="n">
        <v>5</v>
      </c>
      <c r="W21" s="6" t="n">
        <v>5</v>
      </c>
      <c r="X21" s="6" t="n">
        <v>5</v>
      </c>
      <c r="Y21" s="6" t="n">
        <v>1</v>
      </c>
      <c r="Z21" s="6" t="n">
        <v>1</v>
      </c>
      <c r="AA21" s="6" t="n">
        <v>1</v>
      </c>
      <c r="AB21" s="6" t="n">
        <v>1</v>
      </c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>
        <v>1</v>
      </c>
      <c r="AP21" s="6" t="n"/>
    </row>
    <row r="22">
      <c r="A22" s="6" t="inlineStr">
        <is>
          <t>R021</t>
        </is>
      </c>
      <c r="B22" s="6" t="n">
        <v>22</v>
      </c>
      <c r="C22" s="24" t="n">
        <v>46315.53754782407</v>
      </c>
      <c r="D22" s="6" t="inlineStr">
        <is>
          <t>CCTV YOLO-LLM 안전알림 도입 현장</t>
        </is>
      </c>
      <c r="E22" s="6" t="n">
        <v>1</v>
      </c>
      <c r="F22" s="6" t="n"/>
      <c r="G22" s="6" t="n"/>
      <c r="H22" s="6" t="inlineStr">
        <is>
          <t>시공사</t>
        </is>
      </c>
      <c r="I22" s="6" t="inlineStr">
        <is>
          <t>남성</t>
        </is>
      </c>
      <c r="J22" s="6" t="n">
        <v>66</v>
      </c>
      <c r="K22" s="6" t="n">
        <v>33</v>
      </c>
      <c r="L22" s="6" t="inlineStr">
        <is>
          <t>현장소장</t>
        </is>
      </c>
      <c r="M22" s="6" t="inlineStr">
        <is>
          <t>20억 원 미만</t>
        </is>
      </c>
      <c r="N22" s="6" t="inlineStr">
        <is>
          <t>작업자나 반장의 전화·보고</t>
        </is>
      </c>
      <c r="O22" s="6" t="inlineStr">
        <is>
          <t>다음 순찰 때</t>
        </is>
      </c>
      <c r="P22" s="6" t="inlineStr">
        <is>
          <t>즉시∼5분</t>
        </is>
      </c>
      <c r="Q22" s="6" t="n">
        <v>5</v>
      </c>
      <c r="R22" s="6" t="n">
        <v>5</v>
      </c>
      <c r="S22" s="6" t="n">
        <v>4</v>
      </c>
      <c r="T22" s="6" t="n">
        <v>4</v>
      </c>
      <c r="U22" s="6" t="n">
        <v>5</v>
      </c>
      <c r="V22" s="6" t="n">
        <v>4</v>
      </c>
      <c r="W22" s="6" t="n">
        <v>5</v>
      </c>
      <c r="X22" s="6" t="n">
        <v>5</v>
      </c>
      <c r="Y22" s="6" t="n">
        <v>5</v>
      </c>
      <c r="Z22" s="6" t="n">
        <v>5</v>
      </c>
      <c r="AA22" s="6" t="n">
        <v>5</v>
      </c>
      <c r="AB22" s="6" t="n">
        <v>5</v>
      </c>
      <c r="AC22" s="6" t="n">
        <v>1</v>
      </c>
      <c r="AD22" s="6" t="n">
        <v>2</v>
      </c>
      <c r="AE22" s="6" t="n">
        <v>4</v>
      </c>
      <c r="AF22" s="6" t="n">
        <v>4</v>
      </c>
      <c r="AG22" s="6" t="n">
        <v>5</v>
      </c>
      <c r="AH22" s="6" t="n">
        <v>5</v>
      </c>
      <c r="AI22" s="6" t="n">
        <v>5</v>
      </c>
      <c r="AJ22" s="6" t="n">
        <v>5</v>
      </c>
      <c r="AK22" s="6" t="n">
        <v>5</v>
      </c>
      <c r="AL22" s="6" t="n">
        <v>5</v>
      </c>
      <c r="AM22" s="6" t="n">
        <v>5</v>
      </c>
      <c r="AN22" s="6" t="n">
        <v>5</v>
      </c>
      <c r="AO22" s="6" t="n">
        <v>1</v>
      </c>
      <c r="AP22" s="6" t="n"/>
    </row>
    <row r="23">
      <c r="A23" s="6" t="inlineStr">
        <is>
          <t>R022</t>
        </is>
      </c>
      <c r="B23" s="6" t="n">
        <v>23</v>
      </c>
      <c r="C23" s="24" t="n">
        <v>46315.53852633102</v>
      </c>
      <c r="D23" s="6" t="inlineStr">
        <is>
          <t>CCTV YOLO-LLM 안전알림 미도입 현장</t>
        </is>
      </c>
      <c r="E23" s="6" t="n">
        <v>0</v>
      </c>
      <c r="F23" s="6" t="n"/>
      <c r="G23" s="6" t="n"/>
      <c r="H23" s="6" t="inlineStr">
        <is>
          <t>시공사</t>
        </is>
      </c>
      <c r="I23" s="6" t="inlineStr">
        <is>
          <t>남성</t>
        </is>
      </c>
      <c r="J23" s="6" t="n">
        <v>56</v>
      </c>
      <c r="K23" s="6" t="n">
        <v>30</v>
      </c>
      <c r="L23" s="6" t="inlineStr">
        <is>
          <t>현장소장</t>
        </is>
      </c>
      <c r="M23" s="6" t="inlineStr">
        <is>
          <t>20억 원 이상∼50억 원 미만</t>
        </is>
      </c>
      <c r="N23" s="6" t="inlineStr">
        <is>
          <t>작업자나 반장의 전화·보고</t>
        </is>
      </c>
      <c r="O23" s="6" t="inlineStr">
        <is>
          <t>누군가 알려줄 때</t>
        </is>
      </c>
      <c r="P23" s="6" t="inlineStr">
        <is>
          <t>5분 초과∼30분</t>
        </is>
      </c>
      <c r="Q23" s="6" t="n">
        <v>4</v>
      </c>
      <c r="R23" s="6" t="n">
        <v>5</v>
      </c>
      <c r="S23" s="6" t="n">
        <v>3</v>
      </c>
      <c r="T23" s="6" t="n">
        <v>3</v>
      </c>
      <c r="U23" s="6" t="n">
        <v>3</v>
      </c>
      <c r="V23" s="6" t="n">
        <v>3</v>
      </c>
      <c r="W23" s="6" t="n">
        <v>4</v>
      </c>
      <c r="X23" s="6" t="n">
        <v>4</v>
      </c>
      <c r="Y23" s="6" t="n">
        <v>3</v>
      </c>
      <c r="Z23" s="6" t="n">
        <v>2</v>
      </c>
      <c r="AA23" s="6" t="n">
        <v>2</v>
      </c>
      <c r="AB23" s="6" t="n">
        <v>3</v>
      </c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>
        <v>1</v>
      </c>
      <c r="AP23" s="6" t="n"/>
    </row>
    <row r="24">
      <c r="A24" s="6" t="inlineStr">
        <is>
          <t>R023</t>
        </is>
      </c>
      <c r="B24" s="6" t="n">
        <v>24</v>
      </c>
      <c r="C24" s="24" t="n">
        <v>46315.53996668982</v>
      </c>
      <c r="D24" s="6" t="inlineStr">
        <is>
          <t>CCTV YOLO-LLM 안전알림 미도입 현장</t>
        </is>
      </c>
      <c r="E24" s="6" t="n">
        <v>0</v>
      </c>
      <c r="F24" s="6" t="n"/>
      <c r="G24" s="6" t="n"/>
      <c r="H24" s="6" t="inlineStr">
        <is>
          <t>시공사</t>
        </is>
      </c>
      <c r="I24" s="6" t="inlineStr">
        <is>
          <t>남성</t>
        </is>
      </c>
      <c r="J24" s="6" t="n">
        <v>63</v>
      </c>
      <c r="K24" s="6" t="n">
        <v>33</v>
      </c>
      <c r="L24" s="6" t="inlineStr">
        <is>
          <t>안전관리자</t>
        </is>
      </c>
      <c r="M24" s="6" t="inlineStr">
        <is>
          <t>120억 원 이상</t>
        </is>
      </c>
      <c r="N24" s="6" t="inlineStr">
        <is>
          <t>작업자나 반장의 전화·보고</t>
        </is>
      </c>
      <c r="O24" s="6" t="inlineStr">
        <is>
          <t>다음 순찰 때</t>
        </is>
      </c>
      <c r="P24" s="6" t="inlineStr">
        <is>
          <t>30분 초과∼1시간</t>
        </is>
      </c>
      <c r="Q24" s="6" t="n">
        <v>3</v>
      </c>
      <c r="R24" s="6" t="n">
        <v>4</v>
      </c>
      <c r="S24" s="6" t="n">
        <v>2</v>
      </c>
      <c r="T24" s="6" t="n">
        <v>2</v>
      </c>
      <c r="U24" s="6" t="n">
        <v>3</v>
      </c>
      <c r="V24" s="6" t="n">
        <v>3</v>
      </c>
      <c r="W24" s="6" t="n">
        <v>3</v>
      </c>
      <c r="X24" s="6" t="n">
        <v>3</v>
      </c>
      <c r="Y24" s="6" t="n">
        <v>4</v>
      </c>
      <c r="Z24" s="6" t="n">
        <v>4</v>
      </c>
      <c r="AA24" s="6" t="n">
        <v>4</v>
      </c>
      <c r="AB24" s="6" t="n">
        <v>4</v>
      </c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>
        <v>1</v>
      </c>
      <c r="AP24" s="6" t="n"/>
    </row>
    <row r="25">
      <c r="A25" s="6" t="inlineStr">
        <is>
          <t>R024</t>
        </is>
      </c>
      <c r="B25" s="6" t="n">
        <v>25</v>
      </c>
      <c r="C25" s="24" t="n">
        <v>46315.54138388889</v>
      </c>
      <c r="D25" s="6" t="inlineStr">
        <is>
          <t>CCTV YOLO-LLM 안전알림 도입 현장</t>
        </is>
      </c>
      <c r="E25" s="6" t="n">
        <v>1</v>
      </c>
      <c r="F25" s="6" t="n"/>
      <c r="G25" s="6" t="n"/>
      <c r="H25" s="6" t="inlineStr">
        <is>
          <t>시공사</t>
        </is>
      </c>
      <c r="I25" s="6" t="inlineStr">
        <is>
          <t>남성</t>
        </is>
      </c>
      <c r="J25" s="6" t="n">
        <v>64</v>
      </c>
      <c r="K25" s="6" t="n">
        <v>1</v>
      </c>
      <c r="L25" s="6" t="inlineStr">
        <is>
          <t>현장소장</t>
        </is>
      </c>
      <c r="M25" s="6" t="inlineStr">
        <is>
          <t>50억 원 이상∼120억 원 미만</t>
        </is>
      </c>
      <c r="N25" s="6" t="inlineStr">
        <is>
          <t>수시로 현장을 답사하여 확인한다</t>
        </is>
      </c>
      <c r="O25" s="6" t="inlineStr">
        <is>
          <t>누군가 알려줄 때</t>
        </is>
      </c>
      <c r="P25" s="6" t="inlineStr">
        <is>
          <t>즉시∼5분</t>
        </is>
      </c>
      <c r="Q25" s="6" t="n">
        <v>5</v>
      </c>
      <c r="R25" s="6" t="n">
        <v>5</v>
      </c>
      <c r="S25" s="6" t="n">
        <v>5</v>
      </c>
      <c r="T25" s="6" t="n">
        <v>5</v>
      </c>
      <c r="U25" s="6" t="n">
        <v>5</v>
      </c>
      <c r="V25" s="6" t="n">
        <v>5</v>
      </c>
      <c r="W25" s="6" t="n">
        <v>5</v>
      </c>
      <c r="X25" s="6" t="n">
        <v>5</v>
      </c>
      <c r="Y25" s="6" t="n">
        <v>3</v>
      </c>
      <c r="Z25" s="6" t="n">
        <v>1</v>
      </c>
      <c r="AA25" s="6" t="n">
        <v>1</v>
      </c>
      <c r="AB25" s="6" t="n">
        <v>1</v>
      </c>
      <c r="AC25" s="6" t="n">
        <v>5</v>
      </c>
      <c r="AD25" s="6" t="n">
        <v>5</v>
      </c>
      <c r="AE25" s="6" t="n">
        <v>5</v>
      </c>
      <c r="AF25" s="6" t="n">
        <v>1</v>
      </c>
      <c r="AG25" s="6" t="n">
        <v>2</v>
      </c>
      <c r="AH25" s="6" t="n">
        <v>3</v>
      </c>
      <c r="AI25" s="6" t="n">
        <v>5</v>
      </c>
      <c r="AJ25" s="6" t="n">
        <v>5</v>
      </c>
      <c r="AK25" s="6" t="n">
        <v>1</v>
      </c>
      <c r="AL25" s="6" t="n">
        <v>1</v>
      </c>
      <c r="AM25" s="6" t="n">
        <v>5</v>
      </c>
      <c r="AN25" s="6" t="n">
        <v>1</v>
      </c>
      <c r="AO25" s="6" t="n">
        <v>1</v>
      </c>
      <c r="AP25" s="6" t="n"/>
    </row>
    <row r="26">
      <c r="A26" s="6" t="inlineStr">
        <is>
          <t>R025</t>
        </is>
      </c>
      <c r="B26" s="6" t="n">
        <v>26</v>
      </c>
      <c r="C26" s="24" t="n">
        <v>46315.54218570602</v>
      </c>
      <c r="D26" s="6" t="inlineStr">
        <is>
          <t>CCTV YOLO-LLM 안전알림 미도입 현장</t>
        </is>
      </c>
      <c r="E26" s="6" t="n">
        <v>0</v>
      </c>
      <c r="F26" s="6" t="n"/>
      <c r="G26" s="6" t="n"/>
      <c r="H26" s="6" t="inlineStr">
        <is>
          <t>시공사</t>
        </is>
      </c>
      <c r="I26" s="6" t="inlineStr">
        <is>
          <t>남성</t>
        </is>
      </c>
      <c r="J26" s="6" t="n">
        <v>48</v>
      </c>
      <c r="K26" s="6" t="n">
        <v>25</v>
      </c>
      <c r="L26" s="6" t="inlineStr">
        <is>
          <t>현장소장</t>
        </is>
      </c>
      <c r="M26" s="6" t="inlineStr">
        <is>
          <t>120억 원 이상</t>
        </is>
      </c>
      <c r="N26" s="6" t="inlineStr">
        <is>
          <t>사무실 등에서 CCTV 화면을 직접 본다</t>
        </is>
      </c>
      <c r="O26" s="6" t="inlineStr">
        <is>
          <t>발생 직후 알림으로</t>
        </is>
      </c>
      <c r="P26" s="6" t="inlineStr">
        <is>
          <t>즉시∼5분</t>
        </is>
      </c>
      <c r="Q26" s="6" t="n">
        <v>5</v>
      </c>
      <c r="R26" s="6" t="n">
        <v>5</v>
      </c>
      <c r="S26" s="6" t="n">
        <v>5</v>
      </c>
      <c r="T26" s="6" t="n">
        <v>5</v>
      </c>
      <c r="U26" s="6" t="n">
        <v>5</v>
      </c>
      <c r="V26" s="6" t="n">
        <v>5</v>
      </c>
      <c r="W26" s="6" t="n">
        <v>5</v>
      </c>
      <c r="X26" s="6" t="n">
        <v>5</v>
      </c>
      <c r="Y26" s="6" t="n">
        <v>2</v>
      </c>
      <c r="Z26" s="6" t="n">
        <v>4</v>
      </c>
      <c r="AA26" s="6" t="n">
        <v>2</v>
      </c>
      <c r="AB26" s="6" t="n">
        <v>2</v>
      </c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>
        <v>1</v>
      </c>
      <c r="AP26" s="6" t="n"/>
    </row>
    <row r="27">
      <c r="A27" s="6" t="inlineStr">
        <is>
          <t>R026</t>
        </is>
      </c>
      <c r="B27" s="6" t="n">
        <v>27</v>
      </c>
      <c r="C27" s="24" t="n">
        <v>46315.54373225694</v>
      </c>
      <c r="D27" s="6" t="inlineStr">
        <is>
          <t>CCTV YOLO-LLM 안전알림 도입 현장</t>
        </is>
      </c>
      <c r="E27" s="6" t="n">
        <v>1</v>
      </c>
      <c r="F27" s="6" t="n"/>
      <c r="G27" s="6" t="n"/>
      <c r="H27" s="6" t="inlineStr">
        <is>
          <t>발주청(공사감독·감리원 포함)</t>
        </is>
      </c>
      <c r="I27" s="6" t="inlineStr">
        <is>
          <t>남성</t>
        </is>
      </c>
      <c r="J27" s="6" t="n">
        <v>45</v>
      </c>
      <c r="K27" s="6" t="n">
        <v>12</v>
      </c>
      <c r="L27" s="6" t="inlineStr">
        <is>
          <t>공사감독</t>
        </is>
      </c>
      <c r="M27" s="6" t="inlineStr">
        <is>
          <t>50억 원 이상∼120억 원 미만</t>
        </is>
      </c>
      <c r="N27" s="6" t="inlineStr">
        <is>
          <t>사무실 등에서 CCTV 화면을 직접 본다</t>
        </is>
      </c>
      <c r="O27" s="6" t="inlineStr">
        <is>
          <t>누군가 알려줄 때</t>
        </is>
      </c>
      <c r="P27" s="6" t="inlineStr">
        <is>
          <t>5분 초과∼30분</t>
        </is>
      </c>
      <c r="Q27" s="6" t="n">
        <v>5</v>
      </c>
      <c r="R27" s="6" t="n">
        <v>5</v>
      </c>
      <c r="S27" s="6" t="n">
        <v>5</v>
      </c>
      <c r="T27" s="6" t="n">
        <v>5</v>
      </c>
      <c r="U27" s="6" t="n">
        <v>5</v>
      </c>
      <c r="V27" s="6" t="n">
        <v>5</v>
      </c>
      <c r="W27" s="6" t="n">
        <v>5</v>
      </c>
      <c r="X27" s="6" t="n">
        <v>5</v>
      </c>
      <c r="Y27" s="6" t="n">
        <v>2</v>
      </c>
      <c r="Z27" s="6" t="n">
        <v>2</v>
      </c>
      <c r="AA27" s="6" t="n">
        <v>2</v>
      </c>
      <c r="AB27" s="6" t="n">
        <v>5</v>
      </c>
      <c r="AC27" s="6" t="n">
        <v>5</v>
      </c>
      <c r="AD27" s="6" t="n">
        <v>5</v>
      </c>
      <c r="AE27" s="6" t="n">
        <v>5</v>
      </c>
      <c r="AF27" s="6" t="n">
        <v>5</v>
      </c>
      <c r="AG27" s="6" t="n">
        <v>5</v>
      </c>
      <c r="AH27" s="6" t="n">
        <v>5</v>
      </c>
      <c r="AI27" s="6" t="n">
        <v>5</v>
      </c>
      <c r="AJ27" s="6" t="n">
        <v>5</v>
      </c>
      <c r="AK27" s="6" t="n">
        <v>5</v>
      </c>
      <c r="AL27" s="6" t="n">
        <v>5</v>
      </c>
      <c r="AM27" s="6" t="n">
        <v>5</v>
      </c>
      <c r="AN27" s="6" t="n">
        <v>5</v>
      </c>
      <c r="AO27" s="6" t="n">
        <v>1</v>
      </c>
      <c r="AP27" s="6" t="n"/>
    </row>
    <row r="28">
      <c r="A28" s="6" t="inlineStr">
        <is>
          <t>R027</t>
        </is>
      </c>
      <c r="B28" s="6" t="n">
        <v>28</v>
      </c>
      <c r="C28" s="24" t="n">
        <v>46315.54433387732</v>
      </c>
      <c r="D28" s="6" t="inlineStr">
        <is>
          <t>CCTV YOLO-LLM 안전알림 미도입 현장</t>
        </is>
      </c>
      <c r="E28" s="6" t="n">
        <v>0</v>
      </c>
      <c r="F28" s="6" t="n"/>
      <c r="G28" s="6" t="n"/>
      <c r="H28" s="6" t="inlineStr">
        <is>
          <t>발주청(공사감독·감리원 포함)</t>
        </is>
      </c>
      <c r="I28" s="6" t="inlineStr">
        <is>
          <t>남성</t>
        </is>
      </c>
      <c r="J28" s="6" t="n">
        <v>39</v>
      </c>
      <c r="K28" s="6" t="n">
        <v>15</v>
      </c>
      <c r="L28" s="6" t="inlineStr">
        <is>
          <t>공사감독</t>
        </is>
      </c>
      <c r="M28" s="6" t="inlineStr">
        <is>
          <t>20억 원 미만</t>
        </is>
      </c>
      <c r="N28" s="6" t="inlineStr">
        <is>
          <t>알게 될 방법이 없다</t>
        </is>
      </c>
      <c r="O28" s="6" t="inlineStr">
        <is>
          <t>누군가 알려줄 때</t>
        </is>
      </c>
      <c r="P28" s="6" t="inlineStr">
        <is>
          <t>5분 초과∼30분</t>
        </is>
      </c>
      <c r="Q28" s="6" t="n">
        <v>2</v>
      </c>
      <c r="R28" s="6" t="n">
        <v>3</v>
      </c>
      <c r="S28" s="6" t="n">
        <v>1</v>
      </c>
      <c r="T28" s="6" t="n">
        <v>2</v>
      </c>
      <c r="U28" s="6" t="n">
        <v>2</v>
      </c>
      <c r="V28" s="6" t="n">
        <v>1</v>
      </c>
      <c r="W28" s="6" t="n">
        <v>2</v>
      </c>
      <c r="X28" s="6" t="n">
        <v>2</v>
      </c>
      <c r="Y28" s="6" t="n">
        <v>5</v>
      </c>
      <c r="Z28" s="6" t="n">
        <v>4</v>
      </c>
      <c r="AA28" s="6" t="n">
        <v>4</v>
      </c>
      <c r="AB28" s="6" t="n">
        <v>4</v>
      </c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>
        <v>1</v>
      </c>
      <c r="AP28" s="6" t="n"/>
    </row>
    <row r="29">
      <c r="A29" s="6" t="inlineStr">
        <is>
          <t>R028</t>
        </is>
      </c>
      <c r="B29" s="6" t="n">
        <v>29</v>
      </c>
      <c r="C29" s="24" t="n">
        <v>46315.54710349537</v>
      </c>
      <c r="D29" s="6" t="inlineStr">
        <is>
          <t>CCTV YOLO-LLM 안전알림 도입 현장</t>
        </is>
      </c>
      <c r="E29" s="6" t="n">
        <v>1</v>
      </c>
      <c r="F29" s="6" t="n"/>
      <c r="G29" s="6" t="n"/>
      <c r="H29" s="6" t="inlineStr">
        <is>
          <t>시공사</t>
        </is>
      </c>
      <c r="I29" s="6" t="inlineStr">
        <is>
          <t>남성</t>
        </is>
      </c>
      <c r="J29" s="6" t="n">
        <v>37</v>
      </c>
      <c r="K29" s="6" t="n">
        <v>11</v>
      </c>
      <c r="L29" s="6" t="inlineStr">
        <is>
          <t>안전관리자</t>
        </is>
      </c>
      <c r="M29" s="6" t="inlineStr">
        <is>
          <t>120억 원 이상</t>
        </is>
      </c>
      <c r="N29" s="6" t="inlineStr">
        <is>
          <t>자동 알림(문자·메신저·앱)을 받는다</t>
        </is>
      </c>
      <c r="O29" s="6" t="inlineStr">
        <is>
          <t>다음 순찰 때</t>
        </is>
      </c>
      <c r="P29" s="6" t="inlineStr">
        <is>
          <t>5분 초과∼30분</t>
        </is>
      </c>
      <c r="Q29" s="6" t="n">
        <v>4</v>
      </c>
      <c r="R29" s="6" t="n">
        <v>4</v>
      </c>
      <c r="S29" s="6" t="n">
        <v>4</v>
      </c>
      <c r="T29" s="6" t="n">
        <v>3</v>
      </c>
      <c r="U29" s="6" t="n">
        <v>3</v>
      </c>
      <c r="V29" s="6" t="n">
        <v>3</v>
      </c>
      <c r="W29" s="6" t="n">
        <v>5</v>
      </c>
      <c r="X29" s="6" t="n">
        <v>5</v>
      </c>
      <c r="Y29" s="6" t="n">
        <v>3</v>
      </c>
      <c r="Z29" s="6" t="n">
        <v>3</v>
      </c>
      <c r="AA29" s="6" t="n">
        <v>4</v>
      </c>
      <c r="AB29" s="6" t="n">
        <v>5</v>
      </c>
      <c r="AC29" s="6" t="n">
        <v>3</v>
      </c>
      <c r="AD29" s="6" t="n">
        <v>2</v>
      </c>
      <c r="AE29" s="6" t="n">
        <v>3</v>
      </c>
      <c r="AF29" s="6" t="n">
        <v>2</v>
      </c>
      <c r="AG29" s="6" t="n">
        <v>3</v>
      </c>
      <c r="AH29" s="6" t="n">
        <v>3</v>
      </c>
      <c r="AI29" s="6" t="n">
        <v>2</v>
      </c>
      <c r="AJ29" s="6" t="n">
        <v>3</v>
      </c>
      <c r="AK29" s="6" t="n">
        <v>3</v>
      </c>
      <c r="AL29" s="6" t="n">
        <v>3</v>
      </c>
      <c r="AM29" s="6" t="n">
        <v>4</v>
      </c>
      <c r="AN29" s="6" t="n">
        <v>3</v>
      </c>
      <c r="AO29" s="6" t="n">
        <v>1</v>
      </c>
      <c r="AP29" s="6" t="n"/>
    </row>
    <row r="30">
      <c r="A30" s="6" t="inlineStr">
        <is>
          <t>R029</t>
        </is>
      </c>
      <c r="B30" s="6" t="n">
        <v>30</v>
      </c>
      <c r="C30" s="24" t="n">
        <v>46315.54771373842</v>
      </c>
      <c r="D30" s="6" t="inlineStr">
        <is>
          <t>CCTV YOLO-LLM 안전알림 미도입 현장</t>
        </is>
      </c>
      <c r="E30" s="6" t="n">
        <v>0</v>
      </c>
      <c r="F30" s="6" t="n"/>
      <c r="G30" s="6" t="n"/>
      <c r="H30" s="6" t="inlineStr">
        <is>
          <t>시공사</t>
        </is>
      </c>
      <c r="I30" s="6" t="inlineStr">
        <is>
          <t>남성</t>
        </is>
      </c>
      <c r="J30" s="6" t="n">
        <v>32</v>
      </c>
      <c r="K30" s="6" t="n">
        <v>5</v>
      </c>
      <c r="L30" s="6" t="inlineStr">
        <is>
          <t>안전관리자</t>
        </is>
      </c>
      <c r="M30" s="6" t="inlineStr">
        <is>
          <t>120억 원 이상</t>
        </is>
      </c>
      <c r="N30" s="6" t="inlineStr">
        <is>
          <t>사무실 등에서 CCTV 화면을 직접 본다</t>
        </is>
      </c>
      <c r="O30" s="6" t="inlineStr">
        <is>
          <t>누군가 알려줄 때</t>
        </is>
      </c>
      <c r="P30" s="6" t="inlineStr">
        <is>
          <t>즉시∼5분</t>
        </is>
      </c>
      <c r="Q30" s="6" t="n">
        <v>4</v>
      </c>
      <c r="R30" s="6" t="n">
        <v>4</v>
      </c>
      <c r="S30" s="6" t="n">
        <v>3</v>
      </c>
      <c r="T30" s="6" t="n">
        <v>4</v>
      </c>
      <c r="U30" s="6" t="n">
        <v>4</v>
      </c>
      <c r="V30" s="6" t="n">
        <v>5</v>
      </c>
      <c r="W30" s="6" t="n">
        <v>5</v>
      </c>
      <c r="X30" s="6" t="n">
        <v>5</v>
      </c>
      <c r="Y30" s="6" t="n">
        <v>4</v>
      </c>
      <c r="Z30" s="6" t="n">
        <v>4</v>
      </c>
      <c r="AA30" s="6" t="n">
        <v>3</v>
      </c>
      <c r="AB30" s="6" t="n">
        <v>4</v>
      </c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>
        <v>1</v>
      </c>
      <c r="AP30" s="6" t="n"/>
    </row>
    <row r="31">
      <c r="A31" s="6" t="inlineStr">
        <is>
          <t>R030</t>
        </is>
      </c>
      <c r="B31" s="6" t="n">
        <v>31</v>
      </c>
      <c r="C31" s="24" t="n">
        <v>46315.5483243287</v>
      </c>
      <c r="D31" s="6" t="inlineStr">
        <is>
          <t>CCTV YOLO-LLM 안전알림 미도입 현장</t>
        </is>
      </c>
      <c r="E31" s="6" t="n">
        <v>0</v>
      </c>
      <c r="F31" s="6" t="n"/>
      <c r="G31" s="6" t="n"/>
      <c r="H31" s="6" t="inlineStr">
        <is>
          <t>발주청(공사감독·감리원 포함)</t>
        </is>
      </c>
      <c r="I31" s="6" t="inlineStr">
        <is>
          <t>여성</t>
        </is>
      </c>
      <c r="J31" s="6" t="n">
        <v>24</v>
      </c>
      <c r="K31" s="6" t="n">
        <v>1</v>
      </c>
      <c r="L31" s="6" t="inlineStr">
        <is>
          <t>.</t>
        </is>
      </c>
      <c r="M31" s="6" t="inlineStr">
        <is>
          <t>20억 원 이상∼50억 원 미만</t>
        </is>
      </c>
      <c r="N31" s="6" t="inlineStr">
        <is>
          <t>작업자나 반장의 전화·보고</t>
        </is>
      </c>
      <c r="O31" s="6" t="inlineStr">
        <is>
          <t>누군가 알려줄 때</t>
        </is>
      </c>
      <c r="P31" s="6" t="inlineStr">
        <is>
          <t>5분 초과∼30분</t>
        </is>
      </c>
      <c r="Q31" s="6" t="n">
        <v>4</v>
      </c>
      <c r="R31" s="6" t="n">
        <v>4</v>
      </c>
      <c r="S31" s="6" t="n">
        <v>4</v>
      </c>
      <c r="T31" s="6" t="n">
        <v>4</v>
      </c>
      <c r="U31" s="6" t="n">
        <v>4</v>
      </c>
      <c r="V31" s="6" t="n">
        <v>4</v>
      </c>
      <c r="W31" s="6" t="n">
        <v>4</v>
      </c>
      <c r="X31" s="6" t="n">
        <v>4</v>
      </c>
      <c r="Y31" s="6" t="n">
        <v>4</v>
      </c>
      <c r="Z31" s="6" t="n">
        <v>4</v>
      </c>
      <c r="AA31" s="6" t="n">
        <v>4</v>
      </c>
      <c r="AB31" s="6" t="n">
        <v>4</v>
      </c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>
        <v>1</v>
      </c>
      <c r="AP31" s="6" t="n"/>
    </row>
    <row r="32">
      <c r="A32" s="6" t="inlineStr">
        <is>
          <t>R031</t>
        </is>
      </c>
      <c r="B32" s="6" t="n">
        <v>32</v>
      </c>
      <c r="C32" s="24" t="n">
        <v>46315.5484325463</v>
      </c>
      <c r="D32" s="6" t="inlineStr">
        <is>
          <t>CCTV YOLO-LLM 안전알림 도입 현장</t>
        </is>
      </c>
      <c r="E32" s="6" t="n">
        <v>1</v>
      </c>
      <c r="F32" s="6" t="n"/>
      <c r="G32" s="6" t="n"/>
      <c r="H32" s="6" t="inlineStr">
        <is>
          <t>발주청(공사감독·감리원 포함)</t>
        </is>
      </c>
      <c r="I32" s="6" t="inlineStr">
        <is>
          <t>남성</t>
        </is>
      </c>
      <c r="J32" s="6" t="n">
        <v>30</v>
      </c>
      <c r="K32" s="6" t="n">
        <v>4</v>
      </c>
      <c r="L32" s="6" t="inlineStr">
        <is>
          <t>공사감독</t>
        </is>
      </c>
      <c r="M32" s="6" t="inlineStr">
        <is>
          <t>50억 원 이상∼120억 원 미만</t>
        </is>
      </c>
      <c r="N32" s="6" t="inlineStr">
        <is>
          <t>작업자나 반장의 전화·보고</t>
        </is>
      </c>
      <c r="O32" s="6" t="inlineStr">
        <is>
          <t>누군가 알려줄 때</t>
        </is>
      </c>
      <c r="P32" s="6" t="inlineStr">
        <is>
          <t>30분 초과∼1시간</t>
        </is>
      </c>
      <c r="Q32" s="6" t="n">
        <v>4</v>
      </c>
      <c r="R32" s="6" t="n">
        <v>4</v>
      </c>
      <c r="S32" s="6" t="n">
        <v>4</v>
      </c>
      <c r="T32" s="6" t="n">
        <v>4</v>
      </c>
      <c r="U32" s="6" t="n">
        <v>4</v>
      </c>
      <c r="V32" s="6" t="n">
        <v>4</v>
      </c>
      <c r="W32" s="6" t="n">
        <v>4</v>
      </c>
      <c r="X32" s="6" t="n">
        <v>4</v>
      </c>
      <c r="Y32" s="6" t="n">
        <v>2</v>
      </c>
      <c r="Z32" s="6" t="n">
        <v>2</v>
      </c>
      <c r="AA32" s="6" t="n">
        <v>2</v>
      </c>
      <c r="AB32" s="6" t="n">
        <v>2</v>
      </c>
      <c r="AC32" s="6" t="n">
        <v>4</v>
      </c>
      <c r="AD32" s="6" t="n">
        <v>4</v>
      </c>
      <c r="AE32" s="6" t="n">
        <v>4</v>
      </c>
      <c r="AF32" s="6" t="n">
        <v>4</v>
      </c>
      <c r="AG32" s="6" t="n">
        <v>2</v>
      </c>
      <c r="AH32" s="6" t="n">
        <v>2</v>
      </c>
      <c r="AI32" s="6" t="n">
        <v>4</v>
      </c>
      <c r="AJ32" s="6" t="n">
        <v>3</v>
      </c>
      <c r="AK32" s="6" t="n">
        <v>1</v>
      </c>
      <c r="AL32" s="6" t="n">
        <v>2</v>
      </c>
      <c r="AM32" s="6" t="n">
        <v>5</v>
      </c>
      <c r="AN32" s="6" t="n">
        <v>3</v>
      </c>
      <c r="AO32" s="6" t="n">
        <v>1</v>
      </c>
      <c r="AP32" s="6" t="n"/>
    </row>
    <row r="33">
      <c r="A33" s="6" t="inlineStr">
        <is>
          <t>R032</t>
        </is>
      </c>
      <c r="B33" s="6" t="n">
        <v>33</v>
      </c>
      <c r="C33" s="24" t="n">
        <v>46315.54915454861</v>
      </c>
      <c r="D33" s="6" t="inlineStr">
        <is>
          <t>CCTV YOLO-LLM 안전알림 미도입 현장</t>
        </is>
      </c>
      <c r="E33" s="6" t="n">
        <v>0</v>
      </c>
      <c r="F33" s="6" t="n"/>
      <c r="G33" s="6" t="n"/>
      <c r="H33" s="6" t="inlineStr">
        <is>
          <t>발주청(공사감독·감리원 포함)</t>
        </is>
      </c>
      <c r="I33" s="6" t="inlineStr">
        <is>
          <t>남성</t>
        </is>
      </c>
      <c r="J33" s="6" t="n">
        <v>52</v>
      </c>
      <c r="K33" s="6" t="n">
        <v>28</v>
      </c>
      <c r="L33" s="6" t="inlineStr">
        <is>
          <t>공사감독</t>
        </is>
      </c>
      <c r="M33" s="6" t="inlineStr">
        <is>
          <t>120억 원 이상</t>
        </is>
      </c>
      <c r="N33" s="6" t="inlineStr">
        <is>
          <t>사무실 등에서 CCTV 화면을 직접 본다</t>
        </is>
      </c>
      <c r="O33" s="6" t="inlineStr">
        <is>
          <t>모르고 지나가는 경우가 많다</t>
        </is>
      </c>
      <c r="P33" s="6" t="inlineStr">
        <is>
          <t>30분 초과∼1시간</t>
        </is>
      </c>
      <c r="Q33" s="6" t="n">
        <v>3</v>
      </c>
      <c r="R33" s="6" t="n">
        <v>3</v>
      </c>
      <c r="S33" s="6" t="n">
        <v>3</v>
      </c>
      <c r="T33" s="6" t="n">
        <v>3</v>
      </c>
      <c r="U33" s="6" t="n">
        <v>3</v>
      </c>
      <c r="V33" s="6" t="n">
        <v>3</v>
      </c>
      <c r="W33" s="6" t="n">
        <v>4</v>
      </c>
      <c r="X33" s="6" t="n">
        <v>3</v>
      </c>
      <c r="Y33" s="6" t="n">
        <v>5</v>
      </c>
      <c r="Z33" s="6" t="n">
        <v>4</v>
      </c>
      <c r="AA33" s="6" t="n">
        <v>5</v>
      </c>
      <c r="AB33" s="6" t="n">
        <v>5</v>
      </c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>
        <v>1</v>
      </c>
      <c r="AP33" s="6" t="n"/>
    </row>
    <row r="34">
      <c r="A34" s="6" t="inlineStr">
        <is>
          <t>R033</t>
        </is>
      </c>
      <c r="B34" s="6" t="n">
        <v>34</v>
      </c>
      <c r="C34" s="24" t="n">
        <v>46315.54953625</v>
      </c>
      <c r="D34" s="6" t="inlineStr">
        <is>
          <t>CCTV YOLO-LLM 안전알림 도입 현장</t>
        </is>
      </c>
      <c r="E34" s="6" t="n">
        <v>1</v>
      </c>
      <c r="F34" s="6" t="n"/>
      <c r="G34" s="6" t="n"/>
      <c r="H34" s="6" t="inlineStr">
        <is>
          <t>시공사</t>
        </is>
      </c>
      <c r="I34" s="6" t="inlineStr">
        <is>
          <t>남성</t>
        </is>
      </c>
      <c r="J34" s="6" t="n">
        <v>51</v>
      </c>
      <c r="K34" s="6" t="n">
        <v>30</v>
      </c>
      <c r="L34" s="6" t="inlineStr">
        <is>
          <t>현장소장</t>
        </is>
      </c>
      <c r="M34" s="6" t="inlineStr">
        <is>
          <t>50억 원 이상∼120억 원 미만</t>
        </is>
      </c>
      <c r="N34" s="6" t="inlineStr">
        <is>
          <t>현장상주 미상주시 대체직원 상주</t>
        </is>
      </c>
      <c r="O34" s="6" t="inlineStr">
        <is>
          <t>다음 순찰 때</t>
        </is>
      </c>
      <c r="P34" s="6" t="inlineStr">
        <is>
          <t>즉시∼5분</t>
        </is>
      </c>
      <c r="Q34" s="6" t="n">
        <v>4</v>
      </c>
      <c r="R34" s="6" t="n">
        <v>4</v>
      </c>
      <c r="S34" s="6" t="n">
        <v>4</v>
      </c>
      <c r="T34" s="6" t="n">
        <v>4</v>
      </c>
      <c r="U34" s="6" t="n">
        <v>4</v>
      </c>
      <c r="V34" s="6" t="n">
        <v>4</v>
      </c>
      <c r="W34" s="6" t="n">
        <v>4</v>
      </c>
      <c r="X34" s="6" t="n">
        <v>4</v>
      </c>
      <c r="Y34" s="6" t="n">
        <v>4</v>
      </c>
      <c r="Z34" s="6" t="n">
        <v>3</v>
      </c>
      <c r="AA34" s="6" t="n">
        <v>4</v>
      </c>
      <c r="AB34" s="6" t="n">
        <v>3</v>
      </c>
      <c r="AC34" s="6" t="n">
        <v>4</v>
      </c>
      <c r="AD34" s="6" t="n">
        <v>4</v>
      </c>
      <c r="AE34" s="6" t="n">
        <v>4</v>
      </c>
      <c r="AF34" s="6" t="n">
        <v>4</v>
      </c>
      <c r="AG34" s="6" t="n">
        <v>3</v>
      </c>
      <c r="AH34" s="6" t="n">
        <v>3</v>
      </c>
      <c r="AI34" s="6" t="n">
        <v>3</v>
      </c>
      <c r="AJ34" s="6" t="n">
        <v>3</v>
      </c>
      <c r="AK34" s="6" t="n">
        <v>3</v>
      </c>
      <c r="AL34" s="6" t="n">
        <v>3</v>
      </c>
      <c r="AM34" s="6" t="n">
        <v>4</v>
      </c>
      <c r="AN34" s="6" t="n">
        <v>3</v>
      </c>
      <c r="AO34" s="6" t="n">
        <v>1</v>
      </c>
      <c r="AP34" s="6" t="n"/>
    </row>
    <row r="35">
      <c r="A35" s="6" t="inlineStr">
        <is>
          <t>R034</t>
        </is>
      </c>
      <c r="B35" s="6" t="n">
        <v>35</v>
      </c>
      <c r="C35" s="24" t="n">
        <v>46315.5505569213</v>
      </c>
      <c r="D35" s="6" t="inlineStr">
        <is>
          <t>CCTV YOLO-LLM 안전알림 도입 현장</t>
        </is>
      </c>
      <c r="E35" s="6" t="n">
        <v>1</v>
      </c>
      <c r="F35" s="6" t="n"/>
      <c r="G35" s="6" t="n"/>
      <c r="H35" s="6" t="inlineStr">
        <is>
          <t>시공사</t>
        </is>
      </c>
      <c r="I35" s="6" t="inlineStr">
        <is>
          <t>남성</t>
        </is>
      </c>
      <c r="J35" s="6" t="n">
        <v>58</v>
      </c>
      <c r="K35" s="6" t="n">
        <v>6</v>
      </c>
      <c r="L35" s="6" t="inlineStr">
        <is>
          <t>안전관리자</t>
        </is>
      </c>
      <c r="M35" s="6" t="inlineStr">
        <is>
          <t>50억 원 이상∼120억 원 미만</t>
        </is>
      </c>
      <c r="N35" s="6" t="inlineStr">
        <is>
          <t>자동 알림(문자·메신저·앱)을 받는다</t>
        </is>
      </c>
      <c r="O35" s="6" t="inlineStr">
        <is>
          <t>발생 직후 알림으로</t>
        </is>
      </c>
      <c r="P35" s="6" t="inlineStr">
        <is>
          <t>즉시∼5분</t>
        </is>
      </c>
      <c r="Q35" s="6" t="n">
        <v>4</v>
      </c>
      <c r="R35" s="6" t="n">
        <v>4</v>
      </c>
      <c r="S35" s="6" t="n">
        <v>4</v>
      </c>
      <c r="T35" s="6" t="n">
        <v>4</v>
      </c>
      <c r="U35" s="6" t="n">
        <v>4</v>
      </c>
      <c r="V35" s="6" t="n">
        <v>4</v>
      </c>
      <c r="W35" s="6" t="n">
        <v>4</v>
      </c>
      <c r="X35" s="6" t="n">
        <v>4</v>
      </c>
      <c r="Y35" s="6" t="n">
        <v>2</v>
      </c>
      <c r="Z35" s="6" t="n">
        <v>2</v>
      </c>
      <c r="AA35" s="6" t="n">
        <v>2</v>
      </c>
      <c r="AB35" s="6" t="n">
        <v>2</v>
      </c>
      <c r="AC35" s="6" t="n">
        <v>3</v>
      </c>
      <c r="AD35" s="6" t="n">
        <v>4</v>
      </c>
      <c r="AE35" s="6" t="n">
        <v>4</v>
      </c>
      <c r="AF35" s="6" t="n">
        <v>3</v>
      </c>
      <c r="AG35" s="6" t="n">
        <v>3</v>
      </c>
      <c r="AH35" s="6" t="n">
        <v>3</v>
      </c>
      <c r="AI35" s="6" t="n">
        <v>4</v>
      </c>
      <c r="AJ35" s="6" t="n">
        <v>3</v>
      </c>
      <c r="AK35" s="6" t="n">
        <v>4</v>
      </c>
      <c r="AL35" s="6" t="n">
        <v>4</v>
      </c>
      <c r="AM35" s="6" t="n">
        <v>4</v>
      </c>
      <c r="AN35" s="6" t="n">
        <v>4</v>
      </c>
      <c r="AO35" s="6" t="n">
        <v>1</v>
      </c>
      <c r="AP35" s="6" t="n"/>
    </row>
    <row r="36">
      <c r="A36" s="6" t="inlineStr">
        <is>
          <t>R035</t>
        </is>
      </c>
      <c r="B36" s="6" t="n">
        <v>36</v>
      </c>
      <c r="C36" s="24" t="n">
        <v>46315.55368098379</v>
      </c>
      <c r="D36" s="6" t="inlineStr">
        <is>
          <t>CCTV YOLO-LLM 안전알림 도입 현장</t>
        </is>
      </c>
      <c r="E36" s="6" t="n">
        <v>1</v>
      </c>
      <c r="F36" s="6" t="n"/>
      <c r="G36" s="6" t="n"/>
      <c r="H36" s="6" t="inlineStr">
        <is>
          <t>시공사</t>
        </is>
      </c>
      <c r="I36" s="6" t="inlineStr">
        <is>
          <t>남성</t>
        </is>
      </c>
      <c r="J36" s="6" t="n">
        <v>46</v>
      </c>
      <c r="K36" s="6" t="n">
        <v>20</v>
      </c>
      <c r="L36" s="6" t="inlineStr">
        <is>
          <t>현장소장</t>
        </is>
      </c>
      <c r="M36" s="6" t="inlineStr">
        <is>
          <t>120억 원 이상</t>
        </is>
      </c>
      <c r="N36" s="6" t="inlineStr">
        <is>
          <t>작업자나 반장의 전화·보고</t>
        </is>
      </c>
      <c r="O36" s="6" t="inlineStr">
        <is>
          <t>누군가 알려줄 때</t>
        </is>
      </c>
      <c r="P36" s="6" t="inlineStr">
        <is>
          <t>5분 초과∼30분</t>
        </is>
      </c>
      <c r="Q36" s="6" t="n">
        <v>4</v>
      </c>
      <c r="R36" s="6" t="n">
        <v>4</v>
      </c>
      <c r="S36" s="6" t="n">
        <v>3</v>
      </c>
      <c r="T36" s="6" t="n">
        <v>3</v>
      </c>
      <c r="U36" s="6" t="n">
        <v>3</v>
      </c>
      <c r="V36" s="6" t="n">
        <v>4</v>
      </c>
      <c r="W36" s="6" t="n">
        <v>4</v>
      </c>
      <c r="X36" s="6" t="n">
        <v>4</v>
      </c>
      <c r="Y36" s="6" t="n">
        <v>4</v>
      </c>
      <c r="Z36" s="6" t="n">
        <v>4</v>
      </c>
      <c r="AA36" s="6" t="n">
        <v>4</v>
      </c>
      <c r="AB36" s="6" t="n">
        <v>4</v>
      </c>
      <c r="AC36" s="6" t="n">
        <v>3</v>
      </c>
      <c r="AD36" s="6" t="n">
        <v>3</v>
      </c>
      <c r="AE36" s="6" t="n">
        <v>4</v>
      </c>
      <c r="AF36" s="6" t="n">
        <v>3</v>
      </c>
      <c r="AG36" s="6" t="n">
        <v>3</v>
      </c>
      <c r="AH36" s="6" t="n">
        <v>4</v>
      </c>
      <c r="AI36" s="6" t="n">
        <v>5</v>
      </c>
      <c r="AJ36" s="6" t="n">
        <v>3</v>
      </c>
      <c r="AK36" s="6" t="n">
        <v>1</v>
      </c>
      <c r="AL36" s="6" t="n">
        <v>2</v>
      </c>
      <c r="AM36" s="6" t="n">
        <v>4</v>
      </c>
      <c r="AN36" s="6" t="n">
        <v>5</v>
      </c>
      <c r="AO36" s="6" t="n">
        <v>1</v>
      </c>
      <c r="AP36" s="6" t="n"/>
    </row>
    <row r="37">
      <c r="A37" s="6" t="inlineStr">
        <is>
          <t>R036</t>
        </is>
      </c>
      <c r="B37" s="6" t="n">
        <v>37</v>
      </c>
      <c r="C37" s="24" t="n">
        <v>46315.5604734375</v>
      </c>
      <c r="D37" s="6" t="inlineStr">
        <is>
          <t>CCTV YOLO-LLM 안전알림 미도입 현장</t>
        </is>
      </c>
      <c r="E37" s="6" t="n">
        <v>0</v>
      </c>
      <c r="F37" s="6" t="n"/>
      <c r="G37" s="6" t="n"/>
      <c r="H37" s="6" t="inlineStr">
        <is>
          <t>발주청(공사감독·감리원 포함)</t>
        </is>
      </c>
      <c r="I37" s="6" t="inlineStr">
        <is>
          <t>남성</t>
        </is>
      </c>
      <c r="J37" s="6" t="n">
        <v>60</v>
      </c>
      <c r="K37" s="6" t="n">
        <v>36</v>
      </c>
      <c r="L37" s="6" t="inlineStr">
        <is>
          <t>공사감독</t>
        </is>
      </c>
      <c r="M37" s="6" t="inlineStr">
        <is>
          <t>120억 원 이상</t>
        </is>
      </c>
      <c r="N37" s="6" t="inlineStr">
        <is>
          <t>작업자나 반장의 전화·보고</t>
        </is>
      </c>
      <c r="O37" s="6" t="inlineStr">
        <is>
          <t>누군가 알려줄 때</t>
        </is>
      </c>
      <c r="P37" s="6" t="inlineStr">
        <is>
          <t>5분 초과∼30분</t>
        </is>
      </c>
      <c r="Q37" s="6" t="n">
        <v>3</v>
      </c>
      <c r="R37" s="6" t="n">
        <v>3</v>
      </c>
      <c r="S37" s="6" t="n">
        <v>2</v>
      </c>
      <c r="T37" s="6" t="n">
        <v>3</v>
      </c>
      <c r="U37" s="6" t="n">
        <v>2</v>
      </c>
      <c r="V37" s="6" t="n">
        <v>2</v>
      </c>
      <c r="W37" s="6" t="n">
        <v>3</v>
      </c>
      <c r="X37" s="6" t="n">
        <v>3</v>
      </c>
      <c r="Y37" s="6" t="n">
        <v>2</v>
      </c>
      <c r="Z37" s="6" t="n">
        <v>2</v>
      </c>
      <c r="AA37" s="6" t="n">
        <v>3</v>
      </c>
      <c r="AB37" s="6" t="n">
        <v>2</v>
      </c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>
        <v>1</v>
      </c>
      <c r="AP37" s="6" t="n"/>
    </row>
    <row r="38">
      <c r="A38" s="6" t="inlineStr">
        <is>
          <t>R037</t>
        </is>
      </c>
      <c r="B38" s="6" t="n">
        <v>38</v>
      </c>
      <c r="C38" s="24" t="n">
        <v>46315.56118208334</v>
      </c>
      <c r="D38" s="6" t="inlineStr">
        <is>
          <t>CCTV YOLO-LLM 안전알림 도입 현장</t>
        </is>
      </c>
      <c r="E38" s="6" t="n">
        <v>1</v>
      </c>
      <c r="F38" s="6" t="n"/>
      <c r="G38" s="6" t="n"/>
      <c r="H38" s="6" t="inlineStr">
        <is>
          <t>발주청(공사감독·감리원 포함)</t>
        </is>
      </c>
      <c r="I38" s="6" t="inlineStr">
        <is>
          <t>남성</t>
        </is>
      </c>
      <c r="J38" s="6" t="n">
        <v>56</v>
      </c>
      <c r="K38" s="6" t="n">
        <v>30</v>
      </c>
      <c r="L38" s="6" t="inlineStr">
        <is>
          <t>사업관리(부장)</t>
        </is>
      </c>
      <c r="M38" s="6" t="inlineStr">
        <is>
          <t>50억 원 이상∼120억 원 미만</t>
        </is>
      </c>
      <c r="N38" s="6" t="inlineStr">
        <is>
          <t>자동 알림(문자·메신저·앱)을 받는다</t>
        </is>
      </c>
      <c r="O38" s="6" t="inlineStr">
        <is>
          <t>발생 직후 알림으로</t>
        </is>
      </c>
      <c r="P38" s="6" t="inlineStr">
        <is>
          <t>즉시∼5분</t>
        </is>
      </c>
      <c r="Q38" s="6" t="n">
        <v>3</v>
      </c>
      <c r="R38" s="6" t="n">
        <v>5</v>
      </c>
      <c r="S38" s="6" t="n">
        <v>3</v>
      </c>
      <c r="T38" s="6" t="n">
        <v>5</v>
      </c>
      <c r="U38" s="6" t="n">
        <v>4</v>
      </c>
      <c r="V38" s="6" t="n">
        <v>3</v>
      </c>
      <c r="W38" s="6" t="n">
        <v>5</v>
      </c>
      <c r="X38" s="6" t="n">
        <v>5</v>
      </c>
      <c r="Y38" s="6" t="n">
        <v>2</v>
      </c>
      <c r="Z38" s="6" t="n">
        <v>2</v>
      </c>
      <c r="AA38" s="6" t="n">
        <v>2</v>
      </c>
      <c r="AB38" s="6" t="n">
        <v>4</v>
      </c>
      <c r="AC38" s="6" t="n">
        <v>4</v>
      </c>
      <c r="AD38" s="6" t="n">
        <v>4</v>
      </c>
      <c r="AE38" s="6" t="n">
        <v>4</v>
      </c>
      <c r="AF38" s="6" t="n">
        <v>4</v>
      </c>
      <c r="AG38" s="6" t="n">
        <v>4</v>
      </c>
      <c r="AH38" s="6" t="n">
        <v>3</v>
      </c>
      <c r="AI38" s="6" t="n">
        <v>5</v>
      </c>
      <c r="AJ38" s="6" t="n">
        <v>5</v>
      </c>
      <c r="AK38" s="6" t="n">
        <v>5</v>
      </c>
      <c r="AL38" s="6" t="n">
        <v>5</v>
      </c>
      <c r="AM38" s="6" t="n">
        <v>5</v>
      </c>
      <c r="AN38" s="6" t="n">
        <v>5</v>
      </c>
      <c r="AO38" s="6" t="n">
        <v>1</v>
      </c>
      <c r="AP38" s="6" t="n"/>
    </row>
    <row r="39">
      <c r="A39" s="6" t="inlineStr">
        <is>
          <t>R038</t>
        </is>
      </c>
      <c r="B39" s="6" t="n">
        <v>39</v>
      </c>
      <c r="C39" s="24" t="n">
        <v>46315.56704487269</v>
      </c>
      <c r="D39" s="6" t="inlineStr">
        <is>
          <t>CCTV YOLO-LLM 안전알림 미도입 현장</t>
        </is>
      </c>
      <c r="E39" s="6" t="n">
        <v>0</v>
      </c>
      <c r="F39" s="6" t="n"/>
      <c r="G39" s="6" t="n"/>
      <c r="H39" s="6" t="inlineStr">
        <is>
          <t>시공사</t>
        </is>
      </c>
      <c r="I39" s="6" t="inlineStr">
        <is>
          <t>남성</t>
        </is>
      </c>
      <c r="J39" s="6" t="n">
        <v>57</v>
      </c>
      <c r="K39" s="6" t="n">
        <v>32</v>
      </c>
      <c r="L39" s="6" t="inlineStr">
        <is>
          <t>현장소장</t>
        </is>
      </c>
      <c r="M39" s="6" t="inlineStr">
        <is>
          <t>20억 원 미만</t>
        </is>
      </c>
      <c r="N39" s="6" t="inlineStr">
        <is>
          <t>현장상주 직접확인</t>
        </is>
      </c>
      <c r="O39" s="6" t="inlineStr">
        <is>
          <t>누군가 알려줄 때</t>
        </is>
      </c>
      <c r="P39" s="6" t="inlineStr">
        <is>
          <t>즉시∼5분</t>
        </is>
      </c>
      <c r="Q39" s="6" t="n">
        <v>5</v>
      </c>
      <c r="R39" s="6" t="n">
        <v>5</v>
      </c>
      <c r="S39" s="6" t="n">
        <v>5</v>
      </c>
      <c r="T39" s="6" t="n">
        <v>5</v>
      </c>
      <c r="U39" s="6" t="n">
        <v>5</v>
      </c>
      <c r="V39" s="6" t="n">
        <v>5</v>
      </c>
      <c r="W39" s="6" t="n">
        <v>5</v>
      </c>
      <c r="X39" s="6" t="n">
        <v>5</v>
      </c>
      <c r="Y39" s="6" t="n">
        <v>1</v>
      </c>
      <c r="Z39" s="6" t="n">
        <v>1</v>
      </c>
      <c r="AA39" s="6" t="n">
        <v>1</v>
      </c>
      <c r="AB39" s="6" t="n">
        <v>1</v>
      </c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>
        <v>1</v>
      </c>
      <c r="AP39" s="6" t="n"/>
    </row>
    <row r="40">
      <c r="A40" s="6" t="inlineStr">
        <is>
          <t>R039</t>
        </is>
      </c>
      <c r="B40" s="6" t="n">
        <v>40</v>
      </c>
      <c r="C40" s="24" t="n">
        <v>46315.5674865625</v>
      </c>
      <c r="D40" s="6" t="inlineStr">
        <is>
          <t>CCTV YOLO-LLM 안전알림 미도입 현장</t>
        </is>
      </c>
      <c r="E40" s="6" t="n">
        <v>0</v>
      </c>
      <c r="F40" s="6" t="n"/>
      <c r="G40" s="6" t="n"/>
      <c r="H40" s="6" t="inlineStr">
        <is>
          <t>발주청(공사감독·감리원 포함)</t>
        </is>
      </c>
      <c r="I40" s="6" t="inlineStr">
        <is>
          <t>남성</t>
        </is>
      </c>
      <c r="J40" s="6" t="n">
        <v>55</v>
      </c>
      <c r="K40" s="6" t="n">
        <v>25</v>
      </c>
      <c r="L40" s="6" t="inlineStr">
        <is>
          <t>기술사사무소</t>
        </is>
      </c>
      <c r="M40" s="6" t="inlineStr">
        <is>
          <t>20억 원 미만</t>
        </is>
      </c>
      <c r="N40" s="6" t="inlineStr">
        <is>
          <t>알게 될 방법이 없다</t>
        </is>
      </c>
      <c r="O40" s="6" t="inlineStr">
        <is>
          <t>누군가 알려줄 때</t>
        </is>
      </c>
      <c r="P40" s="6" t="inlineStr">
        <is>
          <t>1시간 초과 또는 다음 순찰 때</t>
        </is>
      </c>
      <c r="Q40" s="6" t="n">
        <v>3</v>
      </c>
      <c r="R40" s="6" t="n">
        <v>4</v>
      </c>
      <c r="S40" s="6" t="n">
        <v>2</v>
      </c>
      <c r="T40" s="6" t="n">
        <v>2</v>
      </c>
      <c r="U40" s="6" t="n">
        <v>2</v>
      </c>
      <c r="V40" s="6" t="n">
        <v>3</v>
      </c>
      <c r="W40" s="6" t="n">
        <v>3</v>
      </c>
      <c r="X40" s="6" t="n">
        <v>3</v>
      </c>
      <c r="Y40" s="6" t="n">
        <v>4</v>
      </c>
      <c r="Z40" s="6" t="n">
        <v>4</v>
      </c>
      <c r="AA40" s="6" t="n">
        <v>4</v>
      </c>
      <c r="AB40" s="6" t="n">
        <v>5</v>
      </c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>
        <v>1</v>
      </c>
      <c r="AP40" s="6" t="n"/>
    </row>
    <row r="41">
      <c r="A41" s="6" t="inlineStr">
        <is>
          <t>R040</t>
        </is>
      </c>
      <c r="B41" s="6" t="n">
        <v>41</v>
      </c>
      <c r="C41" s="24" t="n">
        <v>46315.56894884259</v>
      </c>
      <c r="D41" s="6" t="inlineStr">
        <is>
          <t>CCTV YOLO-LLM 안전알림 도입 현장</t>
        </is>
      </c>
      <c r="E41" s="6" t="n">
        <v>1</v>
      </c>
      <c r="F41" s="6" t="n"/>
      <c r="G41" s="6" t="n"/>
      <c r="H41" s="6" t="inlineStr">
        <is>
          <t>시공사</t>
        </is>
      </c>
      <c r="I41" s="6" t="inlineStr">
        <is>
          <t>남성</t>
        </is>
      </c>
      <c r="J41" s="6" t="n">
        <v>59</v>
      </c>
      <c r="K41" s="6" t="n">
        <v>32</v>
      </c>
      <c r="L41" s="6" t="inlineStr">
        <is>
          <t>현장소장</t>
        </is>
      </c>
      <c r="M41" s="6" t="inlineStr">
        <is>
          <t>50억 원 이상∼120억 원 미만</t>
        </is>
      </c>
      <c r="N41" s="6" t="inlineStr">
        <is>
          <t>작업자나 반장의 전화·보고</t>
        </is>
      </c>
      <c r="O41" s="6" t="inlineStr">
        <is>
          <t>누군가 알려줄 때</t>
        </is>
      </c>
      <c r="P41" s="6" t="inlineStr">
        <is>
          <t>즉시∼5분</t>
        </is>
      </c>
      <c r="Q41" s="6" t="n">
        <v>4</v>
      </c>
      <c r="R41" s="6" t="n">
        <v>5</v>
      </c>
      <c r="S41" s="6" t="n">
        <v>4</v>
      </c>
      <c r="T41" s="6" t="n">
        <v>4</v>
      </c>
      <c r="U41" s="6" t="n">
        <v>4</v>
      </c>
      <c r="V41" s="6" t="n">
        <v>5</v>
      </c>
      <c r="W41" s="6" t="n">
        <v>5</v>
      </c>
      <c r="X41" s="6" t="n">
        <v>5</v>
      </c>
      <c r="Y41" s="6" t="n">
        <v>4</v>
      </c>
      <c r="Z41" s="6" t="n">
        <v>4</v>
      </c>
      <c r="AA41" s="6" t="n">
        <v>4</v>
      </c>
      <c r="AB41" s="6" t="n">
        <v>4</v>
      </c>
      <c r="AC41" s="6" t="n">
        <v>3</v>
      </c>
      <c r="AD41" s="6" t="n">
        <v>4</v>
      </c>
      <c r="AE41" s="6" t="n">
        <v>4</v>
      </c>
      <c r="AF41" s="6" t="n">
        <v>2</v>
      </c>
      <c r="AG41" s="6" t="n">
        <v>3</v>
      </c>
      <c r="AH41" s="6" t="n">
        <v>3</v>
      </c>
      <c r="AI41" s="6" t="n">
        <v>4</v>
      </c>
      <c r="AJ41" s="6" t="n">
        <v>3</v>
      </c>
      <c r="AK41" s="6" t="n">
        <v>2</v>
      </c>
      <c r="AL41" s="6" t="n">
        <v>2</v>
      </c>
      <c r="AM41" s="6" t="n">
        <v>3</v>
      </c>
      <c r="AN41" s="6" t="n">
        <v>2</v>
      </c>
      <c r="AO41" s="6" t="n">
        <v>1</v>
      </c>
      <c r="AP41" s="6" t="n"/>
    </row>
    <row r="42">
      <c r="A42" s="6" t="inlineStr">
        <is>
          <t>R041</t>
        </is>
      </c>
      <c r="B42" s="6" t="n">
        <v>42</v>
      </c>
      <c r="C42" s="24" t="n">
        <v>46315.569525625</v>
      </c>
      <c r="D42" s="6" t="inlineStr">
        <is>
          <t>CCTV YOLO-LLM 안전알림 미도입 현장</t>
        </is>
      </c>
      <c r="E42" s="6" t="n">
        <v>0</v>
      </c>
      <c r="F42" s="6" t="n"/>
      <c r="G42" s="6" t="n"/>
      <c r="H42" s="6" t="inlineStr">
        <is>
          <t>발주청(공사감독·감리원 포함)</t>
        </is>
      </c>
      <c r="I42" s="6" t="inlineStr">
        <is>
          <t>남성</t>
        </is>
      </c>
      <c r="J42" s="6" t="n">
        <v>48</v>
      </c>
      <c r="K42" s="6" t="n">
        <v>14</v>
      </c>
      <c r="L42" s="6" t="inlineStr">
        <is>
          <t>공사감독</t>
        </is>
      </c>
      <c r="M42" s="6" t="inlineStr">
        <is>
          <t>50억 원 이상∼120억 원 미만</t>
        </is>
      </c>
      <c r="N42" s="6" t="inlineStr">
        <is>
          <t>작업자나 반장의 전화·보고</t>
        </is>
      </c>
      <c r="O42" s="6" t="inlineStr">
        <is>
          <t>발생 직후 알림으로</t>
        </is>
      </c>
      <c r="P42" s="6" t="inlineStr">
        <is>
          <t>5분 초과∼30분</t>
        </is>
      </c>
      <c r="Q42" s="6" t="n">
        <v>4</v>
      </c>
      <c r="R42" s="6" t="n">
        <v>5</v>
      </c>
      <c r="S42" s="6" t="n">
        <v>5</v>
      </c>
      <c r="T42" s="6" t="n">
        <v>5</v>
      </c>
      <c r="U42" s="6" t="n">
        <v>5</v>
      </c>
      <c r="V42" s="6" t="n">
        <v>5</v>
      </c>
      <c r="W42" s="6" t="n">
        <v>5</v>
      </c>
      <c r="X42" s="6" t="n">
        <v>5</v>
      </c>
      <c r="Y42" s="6" t="n">
        <v>2</v>
      </c>
      <c r="Z42" s="6" t="n">
        <v>3</v>
      </c>
      <c r="AA42" s="6" t="n">
        <v>3</v>
      </c>
      <c r="AB42" s="6" t="n">
        <v>3</v>
      </c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>
        <v>1</v>
      </c>
      <c r="AP42" s="6" t="n"/>
    </row>
    <row r="43">
      <c r="A43" s="6" t="inlineStr">
        <is>
          <t>R042</t>
        </is>
      </c>
      <c r="B43" s="6" t="n">
        <v>43</v>
      </c>
      <c r="C43" s="24" t="n">
        <v>46315.57175782407</v>
      </c>
      <c r="D43" s="6" t="inlineStr">
        <is>
          <t>CCTV YOLO-LLM 안전알림 미도입 현장</t>
        </is>
      </c>
      <c r="E43" s="6" t="n">
        <v>0</v>
      </c>
      <c r="F43" s="6" t="n"/>
      <c r="G43" s="6" t="n"/>
      <c r="H43" s="6" t="inlineStr">
        <is>
          <t>시공사</t>
        </is>
      </c>
      <c r="I43" s="6" t="inlineStr">
        <is>
          <t>남성</t>
        </is>
      </c>
      <c r="J43" s="6" t="n">
        <v>48</v>
      </c>
      <c r="K43" s="6" t="n">
        <v>20</v>
      </c>
      <c r="L43" s="6" t="inlineStr">
        <is>
          <t>현장소장</t>
        </is>
      </c>
      <c r="M43" s="6" t="inlineStr">
        <is>
          <t>20억 원 이상∼50억 원 미만</t>
        </is>
      </c>
      <c r="N43" s="6" t="inlineStr">
        <is>
          <t>작업자나 반장의 전화·보고</t>
        </is>
      </c>
      <c r="O43" s="6" t="inlineStr">
        <is>
          <t>누군가 알려줄 때</t>
        </is>
      </c>
      <c r="P43" s="6" t="inlineStr">
        <is>
          <t>5분 초과∼30분</t>
        </is>
      </c>
      <c r="Q43" s="6" t="n">
        <v>4</v>
      </c>
      <c r="R43" s="6" t="n">
        <v>5</v>
      </c>
      <c r="S43" s="6" t="n">
        <v>4</v>
      </c>
      <c r="T43" s="6" t="n">
        <v>4</v>
      </c>
      <c r="U43" s="6" t="n">
        <v>4</v>
      </c>
      <c r="V43" s="6" t="n">
        <v>4</v>
      </c>
      <c r="W43" s="6" t="n">
        <v>4</v>
      </c>
      <c r="X43" s="6" t="n">
        <v>4</v>
      </c>
      <c r="Y43" s="6" t="n">
        <v>4</v>
      </c>
      <c r="Z43" s="6" t="n">
        <v>4</v>
      </c>
      <c r="AA43" s="6" t="n">
        <v>4</v>
      </c>
      <c r="AB43" s="6" t="n">
        <v>4</v>
      </c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>
        <v>1</v>
      </c>
      <c r="AP43" s="6" t="n"/>
    </row>
    <row r="44">
      <c r="A44" s="6" t="inlineStr">
        <is>
          <t>R043</t>
        </is>
      </c>
      <c r="B44" s="6" t="n">
        <v>44</v>
      </c>
      <c r="C44" s="24" t="n">
        <v>46315.57239597222</v>
      </c>
      <c r="D44" s="6" t="inlineStr">
        <is>
          <t>CCTV YOLO-LLM 안전알림 미도입 현장</t>
        </is>
      </c>
      <c r="E44" s="6" t="n">
        <v>0</v>
      </c>
      <c r="F44" s="6" t="n"/>
      <c r="G44" s="6" t="n"/>
      <c r="H44" s="6" t="inlineStr">
        <is>
          <t>시공사</t>
        </is>
      </c>
      <c r="I44" s="6" t="inlineStr">
        <is>
          <t>남성</t>
        </is>
      </c>
      <c r="J44" s="6" t="n">
        <v>44</v>
      </c>
      <c r="K44" s="6" t="n">
        <v>17</v>
      </c>
      <c r="L44" s="6" t="inlineStr">
        <is>
          <t>공사감독</t>
        </is>
      </c>
      <c r="M44" s="6" t="inlineStr">
        <is>
          <t>120억 원 이상</t>
        </is>
      </c>
      <c r="N44" s="6" t="inlineStr">
        <is>
          <t>작업자나 반장의 전화·보고</t>
        </is>
      </c>
      <c r="O44" s="6" t="inlineStr">
        <is>
          <t>누군가 알려줄 때</t>
        </is>
      </c>
      <c r="P44" s="6" t="inlineStr">
        <is>
          <t>5분 초과∼30분</t>
        </is>
      </c>
      <c r="Q44" s="6" t="n">
        <v>3</v>
      </c>
      <c r="R44" s="6" t="n">
        <v>3</v>
      </c>
      <c r="S44" s="6" t="n">
        <v>3</v>
      </c>
      <c r="T44" s="6" t="n">
        <v>3</v>
      </c>
      <c r="U44" s="6" t="n">
        <v>3</v>
      </c>
      <c r="V44" s="6" t="n">
        <v>2</v>
      </c>
      <c r="W44" s="6" t="n">
        <v>4</v>
      </c>
      <c r="X44" s="6" t="n">
        <v>3</v>
      </c>
      <c r="Y44" s="6" t="n">
        <v>3</v>
      </c>
      <c r="Z44" s="6" t="n">
        <v>3</v>
      </c>
      <c r="AA44" s="6" t="n">
        <v>3</v>
      </c>
      <c r="AB44" s="6" t="n">
        <v>4</v>
      </c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>
        <v>1</v>
      </c>
      <c r="AP44" s="6" t="n"/>
    </row>
    <row r="45">
      <c r="A45" s="6" t="inlineStr">
        <is>
          <t>R044</t>
        </is>
      </c>
      <c r="B45" s="6" t="n">
        <v>45</v>
      </c>
      <c r="C45" s="24" t="n">
        <v>46315.57806953703</v>
      </c>
      <c r="D45" s="6" t="inlineStr">
        <is>
          <t>CCTV YOLO-LLM 안전알림 미도입 현장</t>
        </is>
      </c>
      <c r="E45" s="6" t="n">
        <v>0</v>
      </c>
      <c r="F45" s="6" t="n"/>
      <c r="G45" s="6" t="n"/>
      <c r="H45" s="6" t="inlineStr">
        <is>
          <t>발주청(공사감독·감리원 포함)</t>
        </is>
      </c>
      <c r="I45" s="6" t="inlineStr">
        <is>
          <t>여성</t>
        </is>
      </c>
      <c r="J45" s="6" t="n">
        <v>34</v>
      </c>
      <c r="K45" s="6" t="n">
        <v>8</v>
      </c>
      <c r="L45" s="6" t="inlineStr">
        <is>
          <t>공사감독</t>
        </is>
      </c>
      <c r="M45" s="6" t="inlineStr">
        <is>
          <t>20억 원 이상∼50억 원 미만</t>
        </is>
      </c>
      <c r="N45" s="6" t="inlineStr">
        <is>
          <t>작업자나 반장의 전화·보고</t>
        </is>
      </c>
      <c r="O45" s="6" t="inlineStr">
        <is>
          <t>모르고 지나가는 경우가 많다</t>
        </is>
      </c>
      <c r="P45" s="6" t="inlineStr">
        <is>
          <t>1시간 초과 또는 다음 순찰 때</t>
        </is>
      </c>
      <c r="Q45" s="6" t="n">
        <v>3</v>
      </c>
      <c r="R45" s="6" t="n">
        <v>3</v>
      </c>
      <c r="S45" s="6" t="n">
        <v>3</v>
      </c>
      <c r="T45" s="6" t="n">
        <v>3</v>
      </c>
      <c r="U45" s="6" t="n">
        <v>3</v>
      </c>
      <c r="V45" s="6" t="n">
        <v>2</v>
      </c>
      <c r="W45" s="6" t="n">
        <v>3</v>
      </c>
      <c r="X45" s="6" t="n">
        <v>3</v>
      </c>
      <c r="Y45" s="6" t="n">
        <v>5</v>
      </c>
      <c r="Z45" s="6" t="n">
        <v>5</v>
      </c>
      <c r="AA45" s="6" t="n">
        <v>5</v>
      </c>
      <c r="AB45" s="6" t="n">
        <v>5</v>
      </c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>
        <v>1</v>
      </c>
      <c r="AP45" s="6" t="n"/>
    </row>
    <row r="46">
      <c r="A46" s="6" t="inlineStr">
        <is>
          <t>R045</t>
        </is>
      </c>
      <c r="B46" s="6" t="n">
        <v>46</v>
      </c>
      <c r="C46" s="24" t="n">
        <v>46315.57904016204</v>
      </c>
      <c r="D46" s="6" t="inlineStr">
        <is>
          <t>CCTV YOLO-LLM 안전알림 도입 현장</t>
        </is>
      </c>
      <c r="E46" s="6" t="n">
        <v>1</v>
      </c>
      <c r="F46" s="6" t="n"/>
      <c r="G46" s="6" t="n"/>
      <c r="H46" s="6" t="inlineStr">
        <is>
          <t>시공사</t>
        </is>
      </c>
      <c r="I46" s="6" t="inlineStr">
        <is>
          <t>남성</t>
        </is>
      </c>
      <c r="J46" s="6" t="n">
        <v>33</v>
      </c>
      <c r="K46" s="6" t="n">
        <v>8</v>
      </c>
      <c r="L46" s="6" t="inlineStr">
        <is>
          <t>안전관리자</t>
        </is>
      </c>
      <c r="M46" s="6" t="inlineStr">
        <is>
          <t>50억 원 이상∼120억 원 미만</t>
        </is>
      </c>
      <c r="N46" s="6" t="inlineStr">
        <is>
          <t>작업자나 반장의 전화·보고</t>
        </is>
      </c>
      <c r="O46" s="6" t="inlineStr">
        <is>
          <t>다음 순찰 때</t>
        </is>
      </c>
      <c r="P46" s="6" t="inlineStr">
        <is>
          <t>즉시∼5분</t>
        </is>
      </c>
      <c r="Q46" s="6" t="n">
        <v>4</v>
      </c>
      <c r="R46" s="6" t="n">
        <v>4</v>
      </c>
      <c r="S46" s="6" t="n">
        <v>4</v>
      </c>
      <c r="T46" s="6" t="n">
        <v>4</v>
      </c>
      <c r="U46" s="6" t="n">
        <v>5</v>
      </c>
      <c r="V46" s="6" t="n">
        <v>4</v>
      </c>
      <c r="W46" s="6" t="n">
        <v>5</v>
      </c>
      <c r="X46" s="6" t="n">
        <v>4</v>
      </c>
      <c r="Y46" s="6" t="n">
        <v>4</v>
      </c>
      <c r="Z46" s="6" t="n">
        <v>3</v>
      </c>
      <c r="AA46" s="6" t="n">
        <v>5</v>
      </c>
      <c r="AB46" s="6" t="n">
        <v>3</v>
      </c>
      <c r="AC46" s="6" t="n">
        <v>4</v>
      </c>
      <c r="AD46" s="6" t="n">
        <v>4</v>
      </c>
      <c r="AE46" s="6" t="n">
        <v>3</v>
      </c>
      <c r="AF46" s="6" t="n">
        <v>2</v>
      </c>
      <c r="AG46" s="6" t="n">
        <v>3</v>
      </c>
      <c r="AH46" s="6" t="n">
        <v>1</v>
      </c>
      <c r="AI46" s="6" t="n">
        <v>4</v>
      </c>
      <c r="AJ46" s="6" t="n">
        <v>3</v>
      </c>
      <c r="AK46" s="6" t="n">
        <v>1</v>
      </c>
      <c r="AL46" s="6" t="n">
        <v>1</v>
      </c>
      <c r="AM46" s="6" t="n">
        <v>4</v>
      </c>
      <c r="AN46" s="6" t="n">
        <v>1</v>
      </c>
      <c r="AO46" s="6" t="n">
        <v>1</v>
      </c>
      <c r="AP46" s="6" t="n"/>
    </row>
    <row r="47">
      <c r="A47" s="6" t="inlineStr">
        <is>
          <t>R046</t>
        </is>
      </c>
      <c r="B47" s="6" t="n">
        <v>47</v>
      </c>
      <c r="C47" s="24" t="n">
        <v>46315.59195581019</v>
      </c>
      <c r="D47" s="6" t="inlineStr">
        <is>
          <t>CCTV YOLO-LLM 안전알림 미도입 현장</t>
        </is>
      </c>
      <c r="E47" s="6" t="n">
        <v>0</v>
      </c>
      <c r="F47" s="6" t="n"/>
      <c r="G47" s="6" t="n"/>
      <c r="H47" s="6" t="inlineStr">
        <is>
          <t>시공사</t>
        </is>
      </c>
      <c r="I47" s="6" t="inlineStr">
        <is>
          <t>남성</t>
        </is>
      </c>
      <c r="J47" s="6" t="n">
        <v>45</v>
      </c>
      <c r="K47" s="6" t="n">
        <v>19</v>
      </c>
      <c r="L47" s="6" t="inlineStr">
        <is>
          <t>공사감독</t>
        </is>
      </c>
      <c r="M47" s="6" t="inlineStr">
        <is>
          <t>120억 원 이상</t>
        </is>
      </c>
      <c r="N47" s="6" t="inlineStr">
        <is>
          <t>작업자나 반장의 전화·보고</t>
        </is>
      </c>
      <c r="O47" s="6" t="inlineStr">
        <is>
          <t>누군가 알려줄 때</t>
        </is>
      </c>
      <c r="P47" s="6" t="inlineStr">
        <is>
          <t>즉시∼5분</t>
        </is>
      </c>
      <c r="Q47" s="6" t="n">
        <v>4</v>
      </c>
      <c r="R47" s="6" t="n">
        <v>4</v>
      </c>
      <c r="S47" s="6" t="n">
        <v>5</v>
      </c>
      <c r="T47" s="6" t="n">
        <v>3</v>
      </c>
      <c r="U47" s="6" t="n">
        <v>2</v>
      </c>
      <c r="V47" s="6" t="n">
        <v>2</v>
      </c>
      <c r="W47" s="6" t="n">
        <v>4</v>
      </c>
      <c r="X47" s="6" t="n">
        <v>3</v>
      </c>
      <c r="Y47" s="6" t="n">
        <v>4</v>
      </c>
      <c r="Z47" s="6" t="n">
        <v>4</v>
      </c>
      <c r="AA47" s="6" t="n">
        <v>4</v>
      </c>
      <c r="AB47" s="6" t="n">
        <v>3</v>
      </c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>
        <v>1</v>
      </c>
      <c r="AP47" s="6" t="n"/>
    </row>
    <row r="48">
      <c r="A48" s="6" t="inlineStr">
        <is>
          <t>R047</t>
        </is>
      </c>
      <c r="B48" s="6" t="n">
        <v>48</v>
      </c>
      <c r="C48" s="24" t="n">
        <v>46315.59604435185</v>
      </c>
      <c r="D48" s="6" t="inlineStr">
        <is>
          <t>CCTV YOLO-LLM 안전알림 미도입 현장</t>
        </is>
      </c>
      <c r="E48" s="6" t="n">
        <v>0</v>
      </c>
      <c r="F48" s="6" t="n"/>
      <c r="G48" s="6" t="n"/>
      <c r="H48" s="6" t="inlineStr">
        <is>
          <t>시공사</t>
        </is>
      </c>
      <c r="I48" s="6" t="inlineStr">
        <is>
          <t>남성</t>
        </is>
      </c>
      <c r="J48" s="6" t="n">
        <v>30</v>
      </c>
      <c r="K48" s="6" t="n">
        <v>5</v>
      </c>
      <c r="L48" s="6" t="inlineStr">
        <is>
          <t>안전관리자</t>
        </is>
      </c>
      <c r="M48" s="6" t="inlineStr">
        <is>
          <t>120억 원 이상</t>
        </is>
      </c>
      <c r="N48" s="6" t="inlineStr">
        <is>
          <t>사무실 등에서 CCTV 화면을 직접 본다</t>
        </is>
      </c>
      <c r="O48" s="6" t="inlineStr">
        <is>
          <t>누군가 알려줄 때</t>
        </is>
      </c>
      <c r="P48" s="6" t="inlineStr">
        <is>
          <t>즉시∼5분</t>
        </is>
      </c>
      <c r="Q48" s="6" t="n">
        <v>4</v>
      </c>
      <c r="R48" s="6" t="n">
        <v>4</v>
      </c>
      <c r="S48" s="6" t="n">
        <v>4</v>
      </c>
      <c r="T48" s="6" t="n">
        <v>4</v>
      </c>
      <c r="U48" s="6" t="n">
        <v>4</v>
      </c>
      <c r="V48" s="6" t="n">
        <v>4</v>
      </c>
      <c r="W48" s="6" t="n">
        <v>4</v>
      </c>
      <c r="X48" s="6" t="n">
        <v>4</v>
      </c>
      <c r="Y48" s="6" t="n">
        <v>3</v>
      </c>
      <c r="Z48" s="6" t="n">
        <v>3</v>
      </c>
      <c r="AA48" s="6" t="n">
        <v>3</v>
      </c>
      <c r="AB48" s="6" t="n">
        <v>3</v>
      </c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>
        <v>1</v>
      </c>
      <c r="AP48" s="6" t="n"/>
    </row>
    <row r="49">
      <c r="A49" s="6" t="inlineStr">
        <is>
          <t>R048</t>
        </is>
      </c>
      <c r="B49" s="6" t="n">
        <v>49</v>
      </c>
      <c r="C49" s="24" t="n">
        <v>46315.60041444445</v>
      </c>
      <c r="D49" s="6" t="inlineStr">
        <is>
          <t>CCTV YOLO-LLM 안전알림 미도입 현장</t>
        </is>
      </c>
      <c r="E49" s="6" t="n">
        <v>0</v>
      </c>
      <c r="F49" s="6" t="n"/>
      <c r="G49" s="6" t="n"/>
      <c r="H49" s="6" t="inlineStr">
        <is>
          <t>시공사</t>
        </is>
      </c>
      <c r="I49" s="6" t="inlineStr">
        <is>
          <t>남성</t>
        </is>
      </c>
      <c r="J49" s="6" t="n">
        <v>55</v>
      </c>
      <c r="K49" s="6" t="n">
        <v>15</v>
      </c>
      <c r="L49" s="6" t="inlineStr">
        <is>
          <t>안전관리자</t>
        </is>
      </c>
      <c r="M49" s="6" t="inlineStr">
        <is>
          <t>50억 원 이상∼120억 원 미만</t>
        </is>
      </c>
      <c r="N49" s="6" t="inlineStr">
        <is>
          <t>상주 근무자의 비상연락망 가동</t>
        </is>
      </c>
      <c r="O49" s="6" t="inlineStr">
        <is>
          <t>누군가 알려줄 때</t>
        </is>
      </c>
      <c r="P49" s="6" t="inlineStr">
        <is>
          <t>30분 초과∼1시간</t>
        </is>
      </c>
      <c r="Q49" s="6" t="n">
        <v>4</v>
      </c>
      <c r="R49" s="6" t="n">
        <v>4</v>
      </c>
      <c r="S49" s="6" t="n">
        <v>4</v>
      </c>
      <c r="T49" s="6" t="n">
        <v>4</v>
      </c>
      <c r="U49" s="6" t="n">
        <v>4</v>
      </c>
      <c r="V49" s="6" t="n">
        <v>2</v>
      </c>
      <c r="W49" s="6" t="n">
        <v>4</v>
      </c>
      <c r="X49" s="6" t="n">
        <v>4</v>
      </c>
      <c r="Y49" s="6" t="n">
        <v>4</v>
      </c>
      <c r="Z49" s="6" t="n">
        <v>5</v>
      </c>
      <c r="AA49" s="6" t="n">
        <v>5</v>
      </c>
      <c r="AB49" s="6" t="n">
        <v>5</v>
      </c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>
        <v>1</v>
      </c>
      <c r="AP49" s="6" t="n"/>
    </row>
    <row r="50">
      <c r="A50" s="6" t="inlineStr">
        <is>
          <t>R049</t>
        </is>
      </c>
      <c r="B50" s="6" t="n">
        <v>50</v>
      </c>
      <c r="C50" s="24" t="n">
        <v>46315.60104048611</v>
      </c>
      <c r="D50" s="6" t="inlineStr">
        <is>
          <t>CCTV YOLO-LLM 안전알림 도입 현장</t>
        </is>
      </c>
      <c r="E50" s="6" t="n">
        <v>1</v>
      </c>
      <c r="F50" s="6" t="n"/>
      <c r="G50" s="6" t="n"/>
      <c r="H50" s="6" t="inlineStr">
        <is>
          <t>시공사</t>
        </is>
      </c>
      <c r="I50" s="6" t="inlineStr">
        <is>
          <t>남성</t>
        </is>
      </c>
      <c r="J50" s="6" t="n">
        <v>63</v>
      </c>
      <c r="K50" s="6" t="n">
        <v>37</v>
      </c>
      <c r="L50" s="6" t="inlineStr">
        <is>
          <t>현장소장</t>
        </is>
      </c>
      <c r="M50" s="6" t="inlineStr">
        <is>
          <t>20억 원 이상∼50억 원 미만</t>
        </is>
      </c>
      <c r="N50" s="6" t="inlineStr">
        <is>
          <t>자동 알림(문자·메신저·앱)을 받는다</t>
        </is>
      </c>
      <c r="O50" s="6" t="inlineStr">
        <is>
          <t>다음 순찰 때</t>
        </is>
      </c>
      <c r="P50" s="6" t="inlineStr">
        <is>
          <t>30분 초과∼1시간</t>
        </is>
      </c>
      <c r="Q50" s="6" t="n">
        <v>4</v>
      </c>
      <c r="R50" s="6" t="n">
        <v>4</v>
      </c>
      <c r="S50" s="6" t="n">
        <v>4</v>
      </c>
      <c r="T50" s="6" t="n">
        <v>4</v>
      </c>
      <c r="U50" s="6" t="n">
        <v>3</v>
      </c>
      <c r="V50" s="6" t="n">
        <v>4</v>
      </c>
      <c r="W50" s="6" t="n">
        <v>4</v>
      </c>
      <c r="X50" s="6" t="n">
        <v>4</v>
      </c>
      <c r="Y50" s="6" t="n">
        <v>5</v>
      </c>
      <c r="Z50" s="6" t="n">
        <v>4</v>
      </c>
      <c r="AA50" s="6" t="n">
        <v>5</v>
      </c>
      <c r="AB50" s="6" t="n">
        <v>4</v>
      </c>
      <c r="AC50" s="6" t="n">
        <v>4</v>
      </c>
      <c r="AD50" s="6" t="n">
        <v>4</v>
      </c>
      <c r="AE50" s="6" t="n">
        <v>4</v>
      </c>
      <c r="AF50" s="6" t="n">
        <v>4</v>
      </c>
      <c r="AG50" s="6" t="n">
        <v>4</v>
      </c>
      <c r="AH50" s="6" t="n">
        <v>4</v>
      </c>
      <c r="AI50" s="6" t="n">
        <v>4</v>
      </c>
      <c r="AJ50" s="6" t="n">
        <v>4</v>
      </c>
      <c r="AK50" s="6" t="n">
        <v>4</v>
      </c>
      <c r="AL50" s="6" t="n">
        <v>4</v>
      </c>
      <c r="AM50" s="6" t="n">
        <v>4</v>
      </c>
      <c r="AN50" s="6" t="n">
        <v>4</v>
      </c>
      <c r="AO50" s="6" t="n">
        <v>1</v>
      </c>
      <c r="AP50" s="6" t="n"/>
    </row>
    <row r="51">
      <c r="A51" s="6" t="inlineStr">
        <is>
          <t>R050</t>
        </is>
      </c>
      <c r="B51" s="6" t="n">
        <v>51</v>
      </c>
      <c r="C51" s="24" t="n">
        <v>46315.60298571759</v>
      </c>
      <c r="D51" s="6" t="inlineStr">
        <is>
          <t>CCTV YOLO-LLM 안전알림 미도입 현장</t>
        </is>
      </c>
      <c r="E51" s="6" t="n">
        <v>0</v>
      </c>
      <c r="F51" s="6" t="n"/>
      <c r="G51" s="6" t="n"/>
      <c r="H51" s="6" t="inlineStr">
        <is>
          <t>시공사</t>
        </is>
      </c>
      <c r="I51" s="6" t="inlineStr">
        <is>
          <t>남성</t>
        </is>
      </c>
      <c r="J51" s="6" t="n">
        <v>37</v>
      </c>
      <c r="K51" s="6" t="n">
        <v>13</v>
      </c>
      <c r="L51" s="6" t="inlineStr">
        <is>
          <t>현장소장</t>
        </is>
      </c>
      <c r="M51" s="6" t="inlineStr">
        <is>
          <t>20억 원 이상∼50억 원 미만</t>
        </is>
      </c>
      <c r="N51" s="6" t="inlineStr">
        <is>
          <t>사무실 등에서 CCTV 화면을 직접 본다</t>
        </is>
      </c>
      <c r="O51" s="6" t="inlineStr">
        <is>
          <t>다음 순찰 때</t>
        </is>
      </c>
      <c r="P51" s="6" t="inlineStr">
        <is>
          <t>5분 초과∼30분</t>
        </is>
      </c>
      <c r="Q51" s="6" t="n">
        <v>4</v>
      </c>
      <c r="R51" s="6" t="n">
        <v>4</v>
      </c>
      <c r="S51" s="6" t="n">
        <v>4</v>
      </c>
      <c r="T51" s="6" t="n">
        <v>4</v>
      </c>
      <c r="U51" s="6" t="n">
        <v>4</v>
      </c>
      <c r="V51" s="6" t="n">
        <v>4</v>
      </c>
      <c r="W51" s="6" t="n">
        <v>4</v>
      </c>
      <c r="X51" s="6" t="n">
        <v>4</v>
      </c>
      <c r="Y51" s="6" t="n">
        <v>4</v>
      </c>
      <c r="Z51" s="6" t="n">
        <v>4</v>
      </c>
      <c r="AA51" s="6" t="n">
        <v>4</v>
      </c>
      <c r="AB51" s="6" t="n">
        <v>4</v>
      </c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>
        <v>1</v>
      </c>
      <c r="AP51" s="6" t="n"/>
    </row>
    <row r="52">
      <c r="A52" s="6" t="inlineStr">
        <is>
          <t>R051</t>
        </is>
      </c>
      <c r="B52" s="6" t="n">
        <v>52</v>
      </c>
      <c r="C52" s="24" t="n">
        <v>46315.61349619213</v>
      </c>
      <c r="D52" s="6" t="inlineStr">
        <is>
          <t>CCTV YOLO-LLM 안전알림 미도입 현장</t>
        </is>
      </c>
      <c r="E52" s="6" t="n">
        <v>0</v>
      </c>
      <c r="F52" s="6" t="n"/>
      <c r="G52" s="6" t="n"/>
      <c r="H52" s="6" t="inlineStr">
        <is>
          <t>시공사</t>
        </is>
      </c>
      <c r="I52" s="6" t="inlineStr">
        <is>
          <t>여성</t>
        </is>
      </c>
      <c r="J52" s="6" t="n">
        <v>28</v>
      </c>
      <c r="K52" s="6" t="n">
        <v>4</v>
      </c>
      <c r="L52" s="6" t="inlineStr">
        <is>
          <t>안전관리자</t>
        </is>
      </c>
      <c r="M52" s="6" t="inlineStr">
        <is>
          <t>120억 원 이상</t>
        </is>
      </c>
      <c r="N52" s="6" t="inlineStr">
        <is>
          <t>작업자나 반장의 전화·보고</t>
        </is>
      </c>
      <c r="O52" s="6" t="inlineStr">
        <is>
          <t>누군가 알려줄 때</t>
        </is>
      </c>
      <c r="P52" s="6" t="inlineStr">
        <is>
          <t>5분 초과∼30분</t>
        </is>
      </c>
      <c r="Q52" s="6" t="n">
        <v>3</v>
      </c>
      <c r="R52" s="6" t="n">
        <v>2</v>
      </c>
      <c r="S52" s="6" t="n">
        <v>3</v>
      </c>
      <c r="T52" s="6" t="n">
        <v>3</v>
      </c>
      <c r="U52" s="6" t="n">
        <v>4</v>
      </c>
      <c r="V52" s="6" t="n">
        <v>2</v>
      </c>
      <c r="W52" s="6" t="n">
        <v>3</v>
      </c>
      <c r="X52" s="6" t="n">
        <v>3</v>
      </c>
      <c r="Y52" s="6" t="n">
        <v>2</v>
      </c>
      <c r="Z52" s="6" t="n">
        <v>2</v>
      </c>
      <c r="AA52" s="6" t="n">
        <v>2</v>
      </c>
      <c r="AB52" s="6" t="n">
        <v>2</v>
      </c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>
        <v>1</v>
      </c>
      <c r="AP52" s="6" t="n"/>
    </row>
    <row r="53">
      <c r="A53" s="6" t="inlineStr">
        <is>
          <t>R052</t>
        </is>
      </c>
      <c r="B53" s="6" t="n">
        <v>53</v>
      </c>
      <c r="C53" s="24" t="n">
        <v>46315.61386349537</v>
      </c>
      <c r="D53" s="6" t="inlineStr">
        <is>
          <t>CCTV YOLO-LLM 안전알림 미도입 현장</t>
        </is>
      </c>
      <c r="E53" s="6" t="n">
        <v>0</v>
      </c>
      <c r="F53" s="6" t="n"/>
      <c r="G53" s="6" t="n"/>
      <c r="H53" s="6" t="inlineStr">
        <is>
          <t>발주청(공사감독·감리원 포함)</t>
        </is>
      </c>
      <c r="I53" s="6" t="inlineStr">
        <is>
          <t>남성</t>
        </is>
      </c>
      <c r="J53" s="6" t="n">
        <v>33</v>
      </c>
      <c r="K53" s="6" t="n">
        <v>7</v>
      </c>
      <c r="L53" s="6" t="inlineStr">
        <is>
          <t>공사감독</t>
        </is>
      </c>
      <c r="M53" s="6" t="inlineStr">
        <is>
          <t>20억 원 이상∼50억 원 미만</t>
        </is>
      </c>
      <c r="N53" s="6" t="inlineStr">
        <is>
          <t>작업자나 반장의 전화·보고</t>
        </is>
      </c>
      <c r="O53" s="6" t="inlineStr">
        <is>
          <t>다음 순찰 때</t>
        </is>
      </c>
      <c r="P53" s="6" t="inlineStr">
        <is>
          <t>30분 초과∼1시간</t>
        </is>
      </c>
      <c r="Q53" s="6" t="n">
        <v>4</v>
      </c>
      <c r="R53" s="6" t="n">
        <v>5</v>
      </c>
      <c r="S53" s="6" t="n">
        <v>4</v>
      </c>
      <c r="T53" s="6" t="n">
        <v>4</v>
      </c>
      <c r="U53" s="6" t="n">
        <v>3</v>
      </c>
      <c r="V53" s="6" t="n">
        <v>4</v>
      </c>
      <c r="W53" s="6" t="n">
        <v>5</v>
      </c>
      <c r="X53" s="6" t="n">
        <v>4</v>
      </c>
      <c r="Y53" s="6" t="n">
        <v>5</v>
      </c>
      <c r="Z53" s="6" t="n">
        <v>5</v>
      </c>
      <c r="AA53" s="6" t="n">
        <v>5</v>
      </c>
      <c r="AB53" s="6" t="n">
        <v>4</v>
      </c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>
        <v>1</v>
      </c>
      <c r="AP53" s="6" t="n"/>
    </row>
    <row r="54">
      <c r="A54" s="6" t="inlineStr">
        <is>
          <t>R053</t>
        </is>
      </c>
      <c r="B54" s="6" t="n">
        <v>54</v>
      </c>
      <c r="C54" s="24" t="n">
        <v>46315.66469918982</v>
      </c>
      <c r="D54" s="6" t="inlineStr">
        <is>
          <t>CCTV YOLO-LLM 안전알림 도입 현장</t>
        </is>
      </c>
      <c r="E54" s="6" t="n">
        <v>1</v>
      </c>
      <c r="F54" s="6" t="n"/>
      <c r="G54" s="6" t="n"/>
      <c r="H54" s="6" t="inlineStr">
        <is>
          <t>발주청(공사감독·감리원 포함)</t>
        </is>
      </c>
      <c r="I54" s="6" t="inlineStr">
        <is>
          <t>남성</t>
        </is>
      </c>
      <c r="J54" s="6" t="n">
        <v>45</v>
      </c>
      <c r="K54" s="6" t="n">
        <v>10</v>
      </c>
      <c r="L54" s="6" t="inlineStr">
        <is>
          <t>공사감독</t>
        </is>
      </c>
      <c r="M54" s="6" t="inlineStr">
        <is>
          <t>20억 원 이상∼50억 원 미만</t>
        </is>
      </c>
      <c r="N54" s="6" t="inlineStr">
        <is>
          <t>사무실 등에서 CCTV 화면을 직접 본다</t>
        </is>
      </c>
      <c r="O54" s="6" t="inlineStr">
        <is>
          <t>다음 순찰 때</t>
        </is>
      </c>
      <c r="P54" s="6" t="inlineStr">
        <is>
          <t>5분 초과∼30분</t>
        </is>
      </c>
      <c r="Q54" s="6" t="n">
        <v>5</v>
      </c>
      <c r="R54" s="6" t="n">
        <v>5</v>
      </c>
      <c r="S54" s="6" t="n">
        <v>5</v>
      </c>
      <c r="T54" s="6" t="n">
        <v>5</v>
      </c>
      <c r="U54" s="6" t="n">
        <v>5</v>
      </c>
      <c r="V54" s="6" t="n">
        <v>4</v>
      </c>
      <c r="W54" s="6" t="n">
        <v>5</v>
      </c>
      <c r="X54" s="6" t="n">
        <v>5</v>
      </c>
      <c r="Y54" s="6" t="n">
        <v>1</v>
      </c>
      <c r="Z54" s="6" t="n">
        <v>1</v>
      </c>
      <c r="AA54" s="6" t="n">
        <v>5</v>
      </c>
      <c r="AB54" s="6" t="n">
        <v>1</v>
      </c>
      <c r="AC54" s="6" t="n">
        <v>5</v>
      </c>
      <c r="AD54" s="6" t="n">
        <v>5</v>
      </c>
      <c r="AE54" s="6" t="n">
        <v>5</v>
      </c>
      <c r="AF54" s="6" t="n">
        <v>5</v>
      </c>
      <c r="AG54" s="6" t="n">
        <v>5</v>
      </c>
      <c r="AH54" s="6" t="n">
        <v>3</v>
      </c>
      <c r="AI54" s="6" t="n">
        <v>5</v>
      </c>
      <c r="AJ54" s="6" t="n">
        <v>5</v>
      </c>
      <c r="AK54" s="6" t="n">
        <v>5</v>
      </c>
      <c r="AL54" s="6" t="n">
        <v>5</v>
      </c>
      <c r="AM54" s="6" t="n">
        <v>5</v>
      </c>
      <c r="AN54" s="6" t="n">
        <v>5</v>
      </c>
      <c r="AO54" s="6" t="n">
        <v>1</v>
      </c>
      <c r="AP54" s="6" t="n"/>
    </row>
    <row r="55">
      <c r="A55" s="6" t="inlineStr">
        <is>
          <t>R054</t>
        </is>
      </c>
      <c r="B55" s="6" t="n">
        <v>55</v>
      </c>
      <c r="C55" s="24" t="n">
        <v>46315.70736826389</v>
      </c>
      <c r="D55" s="6" t="inlineStr">
        <is>
          <t>CCTV YOLO-LLM 안전알림 도입 현장</t>
        </is>
      </c>
      <c r="E55" s="6" t="n">
        <v>1</v>
      </c>
      <c r="F55" s="6" t="n"/>
      <c r="G55" s="6" t="n"/>
      <c r="H55" s="6" t="inlineStr">
        <is>
          <t>시공사</t>
        </is>
      </c>
      <c r="I55" s="6" t="inlineStr">
        <is>
          <t>남성</t>
        </is>
      </c>
      <c r="J55" s="6" t="n">
        <v>40</v>
      </c>
      <c r="K55" s="6" t="n">
        <v>10</v>
      </c>
      <c r="L55" s="6" t="inlineStr">
        <is>
          <t>현장소장</t>
        </is>
      </c>
      <c r="M55" s="6" t="inlineStr">
        <is>
          <t>20억 원 미만</t>
        </is>
      </c>
      <c r="N55" s="6" t="inlineStr">
        <is>
          <t>작업자나 반장의 전화·보고</t>
        </is>
      </c>
      <c r="O55" s="6" t="inlineStr">
        <is>
          <t>다음 순찰 때</t>
        </is>
      </c>
      <c r="P55" s="6" t="inlineStr">
        <is>
          <t>5분 초과∼30분</t>
        </is>
      </c>
      <c r="Q55" s="6" t="n">
        <v>4</v>
      </c>
      <c r="R55" s="6" t="n">
        <v>4</v>
      </c>
      <c r="S55" s="6" t="n">
        <v>3</v>
      </c>
      <c r="T55" s="6" t="n">
        <v>4</v>
      </c>
      <c r="U55" s="6" t="n">
        <v>3</v>
      </c>
      <c r="V55" s="6" t="n">
        <v>2</v>
      </c>
      <c r="W55" s="6" t="n">
        <v>4</v>
      </c>
      <c r="X55" s="6" t="n">
        <v>3</v>
      </c>
      <c r="Y55" s="6" t="n">
        <v>4</v>
      </c>
      <c r="Z55" s="6" t="n">
        <v>5</v>
      </c>
      <c r="AA55" s="6" t="n">
        <v>5</v>
      </c>
      <c r="AB55" s="6" t="n">
        <v>4</v>
      </c>
      <c r="AC55" s="6" t="n">
        <v>4</v>
      </c>
      <c r="AD55" s="6" t="n">
        <v>4</v>
      </c>
      <c r="AE55" s="6" t="n">
        <v>4</v>
      </c>
      <c r="AF55" s="6" t="n">
        <v>4</v>
      </c>
      <c r="AG55" s="6" t="n">
        <v>4</v>
      </c>
      <c r="AH55" s="6" t="n">
        <v>4</v>
      </c>
      <c r="AI55" s="6" t="n">
        <v>3</v>
      </c>
      <c r="AJ55" s="6" t="n">
        <v>3</v>
      </c>
      <c r="AK55" s="6" t="n">
        <v>4</v>
      </c>
      <c r="AL55" s="6" t="n">
        <v>4</v>
      </c>
      <c r="AM55" s="6" t="n">
        <v>2</v>
      </c>
      <c r="AN55" s="6" t="n">
        <v>3</v>
      </c>
      <c r="AO55" s="6" t="n">
        <v>1</v>
      </c>
      <c r="AP55" s="6" t="n"/>
    </row>
    <row r="56">
      <c r="A56" s="6" t="inlineStr">
        <is>
          <t>R055</t>
        </is>
      </c>
      <c r="B56" s="6" t="n">
        <v>56</v>
      </c>
      <c r="C56" s="24" t="n">
        <v>46315.75956310185</v>
      </c>
      <c r="D56" s="6" t="inlineStr">
        <is>
          <t>CCTV YOLO-LLM 안전알림 도입 현장</t>
        </is>
      </c>
      <c r="E56" s="6" t="n">
        <v>1</v>
      </c>
      <c r="F56" s="6" t="n"/>
      <c r="G56" s="6" t="n"/>
      <c r="H56" s="6" t="inlineStr">
        <is>
          <t>발주청(공사감독·감리원 포함)</t>
        </is>
      </c>
      <c r="I56" s="6" t="inlineStr">
        <is>
          <t>남성</t>
        </is>
      </c>
      <c r="J56" s="6" t="n">
        <v>35</v>
      </c>
      <c r="K56" s="6" t="n">
        <v>10</v>
      </c>
      <c r="L56" s="6" t="inlineStr">
        <is>
          <t>사업관리(안전포함)</t>
        </is>
      </c>
      <c r="M56" s="6" t="inlineStr">
        <is>
          <t>120억 원 이상</t>
        </is>
      </c>
      <c r="N56" s="6" t="inlineStr">
        <is>
          <t>사무실 등에서 CCTV 화면을 직접 본다</t>
        </is>
      </c>
      <c r="O56" s="6" t="inlineStr">
        <is>
          <t>모르고 지나가는 경우가 많다</t>
        </is>
      </c>
      <c r="P56" s="6" t="inlineStr">
        <is>
          <t>30분 초과∼1시간</t>
        </is>
      </c>
      <c r="Q56" s="6" t="n">
        <v>3</v>
      </c>
      <c r="R56" s="6" t="n">
        <v>4</v>
      </c>
      <c r="S56" s="6" t="n">
        <v>4</v>
      </c>
      <c r="T56" s="6" t="n">
        <v>5</v>
      </c>
      <c r="U56" s="6" t="n">
        <v>4</v>
      </c>
      <c r="V56" s="6" t="n">
        <v>2</v>
      </c>
      <c r="W56" s="6" t="n">
        <v>4</v>
      </c>
      <c r="X56" s="6" t="n">
        <v>4</v>
      </c>
      <c r="Y56" s="6" t="n">
        <v>4</v>
      </c>
      <c r="Z56" s="6" t="n">
        <v>4</v>
      </c>
      <c r="AA56" s="6" t="n">
        <v>3</v>
      </c>
      <c r="AB56" s="6" t="n">
        <v>3</v>
      </c>
      <c r="AC56" s="6" t="n">
        <v>4</v>
      </c>
      <c r="AD56" s="6" t="n">
        <v>4</v>
      </c>
      <c r="AE56" s="6" t="n">
        <v>4</v>
      </c>
      <c r="AF56" s="6" t="n">
        <v>4</v>
      </c>
      <c r="AG56" s="6" t="n">
        <v>5</v>
      </c>
      <c r="AH56" s="6" t="n">
        <v>5</v>
      </c>
      <c r="AI56" s="6" t="n">
        <v>5</v>
      </c>
      <c r="AJ56" s="6" t="n">
        <v>5</v>
      </c>
      <c r="AK56" s="6" t="n">
        <v>5</v>
      </c>
      <c r="AL56" s="6" t="n">
        <v>5</v>
      </c>
      <c r="AM56" s="6" t="n">
        <v>4</v>
      </c>
      <c r="AN56" s="6" t="n">
        <v>4</v>
      </c>
      <c r="AO56" s="6" t="n">
        <v>1</v>
      </c>
      <c r="AP56" s="6" t="n"/>
    </row>
    <row r="57">
      <c r="A57" s="6" t="inlineStr">
        <is>
          <t>R056</t>
        </is>
      </c>
      <c r="B57" s="6" t="n">
        <v>57</v>
      </c>
      <c r="C57" s="24" t="n">
        <v>46315.8147158912</v>
      </c>
      <c r="D57" s="6" t="inlineStr">
        <is>
          <t>CCTV YOLO-LLM 안전알림 미도입 현장</t>
        </is>
      </c>
      <c r="E57" s="6" t="n">
        <v>0</v>
      </c>
      <c r="F57" s="6" t="n"/>
      <c r="G57" s="6" t="n"/>
      <c r="H57" s="6" t="inlineStr">
        <is>
          <t>발주청(공사감독·감리원 포함)</t>
        </is>
      </c>
      <c r="I57" s="6" t="inlineStr">
        <is>
          <t>여성</t>
        </is>
      </c>
      <c r="J57" s="6" t="n">
        <v>39</v>
      </c>
      <c r="K57" s="6" t="n">
        <v>13</v>
      </c>
      <c r="L57" s="6" t="inlineStr">
        <is>
          <t>공사감독</t>
        </is>
      </c>
      <c r="M57" s="6" t="inlineStr">
        <is>
          <t>20억 원 미만</t>
        </is>
      </c>
      <c r="N57" s="6" t="inlineStr">
        <is>
          <t>작업자나 반장의 전화·보고</t>
        </is>
      </c>
      <c r="O57" s="6" t="inlineStr">
        <is>
          <t>누군가 알려줄 때</t>
        </is>
      </c>
      <c r="P57" s="6" t="inlineStr">
        <is>
          <t>30분 초과∼1시간</t>
        </is>
      </c>
      <c r="Q57" s="6" t="n">
        <v>2</v>
      </c>
      <c r="R57" s="6" t="n">
        <v>2</v>
      </c>
      <c r="S57" s="6" t="n">
        <v>1</v>
      </c>
      <c r="T57" s="6" t="n">
        <v>1</v>
      </c>
      <c r="U57" s="6" t="n">
        <v>1</v>
      </c>
      <c r="V57" s="6" t="n">
        <v>1</v>
      </c>
      <c r="W57" s="6" t="n">
        <v>2</v>
      </c>
      <c r="X57" s="6" t="n">
        <v>1</v>
      </c>
      <c r="Y57" s="6" t="n">
        <v>5</v>
      </c>
      <c r="Z57" s="6" t="n">
        <v>5</v>
      </c>
      <c r="AA57" s="6" t="n">
        <v>5</v>
      </c>
      <c r="AB57" s="6" t="n">
        <v>5</v>
      </c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>
        <v>1</v>
      </c>
      <c r="AP57" s="6" t="n"/>
    </row>
    <row r="58">
      <c r="A58" s="6" t="inlineStr">
        <is>
          <t>R057</t>
        </is>
      </c>
      <c r="B58" s="6" t="n">
        <v>58</v>
      </c>
      <c r="C58" s="24" t="n">
        <v>46315.82689127315</v>
      </c>
      <c r="D58" s="6" t="inlineStr">
        <is>
          <t>CCTV YOLO-LLM 안전알림 미도입 현장</t>
        </is>
      </c>
      <c r="E58" s="6" t="n">
        <v>0</v>
      </c>
      <c r="F58" s="6" t="n"/>
      <c r="G58" s="6" t="n"/>
      <c r="H58" s="6" t="inlineStr">
        <is>
          <t>시공사</t>
        </is>
      </c>
      <c r="I58" s="6" t="inlineStr">
        <is>
          <t>남성</t>
        </is>
      </c>
      <c r="J58" s="6" t="n">
        <v>59</v>
      </c>
      <c r="K58" s="6" t="n">
        <v>12</v>
      </c>
      <c r="L58" s="6" t="inlineStr">
        <is>
          <t>안전관리자</t>
        </is>
      </c>
      <c r="M58" s="6" t="inlineStr">
        <is>
          <t>50억 원 이상∼120억 원 미만</t>
        </is>
      </c>
      <c r="N58" s="6" t="inlineStr">
        <is>
          <t>작업자나 반장의 전화·보고</t>
        </is>
      </c>
      <c r="O58" s="6" t="inlineStr">
        <is>
          <t>다음 순찰 때</t>
        </is>
      </c>
      <c r="P58" s="6" t="inlineStr">
        <is>
          <t>즉시∼5분</t>
        </is>
      </c>
      <c r="Q58" s="6" t="n">
        <v>3</v>
      </c>
      <c r="R58" s="6" t="n">
        <v>4</v>
      </c>
      <c r="S58" s="6" t="n">
        <v>2</v>
      </c>
      <c r="T58" s="6" t="n">
        <v>2</v>
      </c>
      <c r="U58" s="6" t="n">
        <v>5</v>
      </c>
      <c r="V58" s="6" t="n">
        <v>4</v>
      </c>
      <c r="W58" s="6" t="n">
        <v>4</v>
      </c>
      <c r="X58" s="6" t="n">
        <v>4</v>
      </c>
      <c r="Y58" s="6" t="n">
        <v>5</v>
      </c>
      <c r="Z58" s="6" t="n">
        <v>5</v>
      </c>
      <c r="AA58" s="6" t="n">
        <v>4</v>
      </c>
      <c r="AB58" s="6" t="n">
        <v>3</v>
      </c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>
        <v>1</v>
      </c>
      <c r="AP58" s="6" t="n"/>
    </row>
    <row r="59">
      <c r="A59" s="6" t="inlineStr">
        <is>
          <t>R058</t>
        </is>
      </c>
      <c r="B59" s="6" t="n">
        <v>59</v>
      </c>
      <c r="C59" s="24" t="n">
        <v>46315.82870645833</v>
      </c>
      <c r="D59" s="6" t="inlineStr">
        <is>
          <t>CCTV YOLO-LLM 안전알림 도입 현장</t>
        </is>
      </c>
      <c r="E59" s="6" t="n">
        <v>1</v>
      </c>
      <c r="F59" s="6" t="n"/>
      <c r="G59" s="6" t="n"/>
      <c r="H59" s="6" t="inlineStr">
        <is>
          <t>발주청(공사감독·감리원 포함)</t>
        </is>
      </c>
      <c r="I59" s="6" t="inlineStr">
        <is>
          <t>남성</t>
        </is>
      </c>
      <c r="J59" s="6" t="n">
        <v>37</v>
      </c>
      <c r="K59" s="6" t="n">
        <v>4</v>
      </c>
      <c r="L59" s="6" t="inlineStr">
        <is>
          <t>공사감독</t>
        </is>
      </c>
      <c r="M59" s="6" t="inlineStr">
        <is>
          <t>20억 원 이상∼50억 원 미만</t>
        </is>
      </c>
      <c r="N59" s="6" t="inlineStr">
        <is>
          <t>사무실 등에서 CCTV 화면을 직접 본다</t>
        </is>
      </c>
      <c r="O59" s="6" t="inlineStr">
        <is>
          <t>누군가 알려줄 때</t>
        </is>
      </c>
      <c r="P59" s="6" t="inlineStr">
        <is>
          <t>5분 초과∼30분</t>
        </is>
      </c>
      <c r="Q59" s="6" t="n">
        <v>4</v>
      </c>
      <c r="R59" s="6" t="n">
        <v>4</v>
      </c>
      <c r="S59" s="6" t="n">
        <v>3</v>
      </c>
      <c r="T59" s="6" t="n">
        <v>4</v>
      </c>
      <c r="U59" s="6" t="n">
        <v>3</v>
      </c>
      <c r="V59" s="6" t="n">
        <v>4</v>
      </c>
      <c r="W59" s="6" t="n">
        <v>4</v>
      </c>
      <c r="X59" s="6" t="n">
        <v>4</v>
      </c>
      <c r="Y59" s="6" t="n">
        <v>4</v>
      </c>
      <c r="Z59" s="6" t="n">
        <v>3</v>
      </c>
      <c r="AA59" s="6" t="n">
        <v>3</v>
      </c>
      <c r="AB59" s="6" t="n">
        <v>3</v>
      </c>
      <c r="AC59" s="6" t="n">
        <v>3</v>
      </c>
      <c r="AD59" s="6" t="n">
        <v>4</v>
      </c>
      <c r="AE59" s="6" t="n">
        <v>3</v>
      </c>
      <c r="AF59" s="6" t="n">
        <v>3</v>
      </c>
      <c r="AG59" s="6" t="n">
        <v>3</v>
      </c>
      <c r="AH59" s="6" t="n">
        <v>3</v>
      </c>
      <c r="AI59" s="6" t="n">
        <v>3</v>
      </c>
      <c r="AJ59" s="6" t="n">
        <v>3</v>
      </c>
      <c r="AK59" s="6" t="n">
        <v>4</v>
      </c>
      <c r="AL59" s="6" t="n">
        <v>3</v>
      </c>
      <c r="AM59" s="6" t="n">
        <v>3</v>
      </c>
      <c r="AN59" s="6" t="n">
        <v>3</v>
      </c>
      <c r="AO59" s="6" t="n">
        <v>1</v>
      </c>
      <c r="AP59" s="6" t="n"/>
    </row>
    <row r="60">
      <c r="A60" s="6" t="inlineStr">
        <is>
          <t>R059</t>
        </is>
      </c>
      <c r="B60" s="6" t="n">
        <v>60</v>
      </c>
      <c r="C60" s="24" t="n">
        <v>46315.91088399306</v>
      </c>
      <c r="D60" s="6" t="inlineStr">
        <is>
          <t>CCTV YOLO-LLM 안전알림 미도입 현장</t>
        </is>
      </c>
      <c r="E60" s="6" t="n">
        <v>0</v>
      </c>
      <c r="F60" s="6" t="n"/>
      <c r="G60" s="6" t="n"/>
      <c r="H60" s="6" t="inlineStr">
        <is>
          <t>시공사</t>
        </is>
      </c>
      <c r="I60" s="6" t="inlineStr">
        <is>
          <t>남성</t>
        </is>
      </c>
      <c r="J60" s="6" t="n">
        <v>63</v>
      </c>
      <c r="K60" s="6" t="n">
        <v>36</v>
      </c>
      <c r="L60" s="6" t="inlineStr">
        <is>
          <t>현장소장</t>
        </is>
      </c>
      <c r="M60" s="6" t="inlineStr">
        <is>
          <t>50억 원 이상∼120억 원 미만</t>
        </is>
      </c>
      <c r="N60" s="6" t="inlineStr">
        <is>
          <t>작업자나 반장의 전화·보고</t>
        </is>
      </c>
      <c r="O60" s="6" t="inlineStr">
        <is>
          <t>누군가 알려줄 때</t>
        </is>
      </c>
      <c r="P60" s="6" t="inlineStr">
        <is>
          <t>5분 초과∼30분</t>
        </is>
      </c>
      <c r="Q60" s="6" t="n">
        <v>4</v>
      </c>
      <c r="R60" s="6" t="n">
        <v>4</v>
      </c>
      <c r="S60" s="6" t="n">
        <v>3</v>
      </c>
      <c r="T60" s="6" t="n">
        <v>4</v>
      </c>
      <c r="U60" s="6" t="n">
        <v>3</v>
      </c>
      <c r="V60" s="6" t="n">
        <v>3</v>
      </c>
      <c r="W60" s="6" t="n">
        <v>4</v>
      </c>
      <c r="X60" s="6" t="n">
        <v>3</v>
      </c>
      <c r="Y60" s="6" t="n">
        <v>3</v>
      </c>
      <c r="Z60" s="6" t="n">
        <v>3</v>
      </c>
      <c r="AA60" s="6" t="n">
        <v>4</v>
      </c>
      <c r="AB60" s="6" t="n">
        <v>4</v>
      </c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>
        <v>1</v>
      </c>
      <c r="AP60" s="6" t="n"/>
    </row>
    <row r="61">
      <c r="A61" s="6" t="inlineStr">
        <is>
          <t>R060</t>
        </is>
      </c>
      <c r="B61" s="6" t="n">
        <v>61</v>
      </c>
      <c r="C61" s="24" t="n">
        <v>46315.91886731482</v>
      </c>
      <c r="D61" s="6" t="inlineStr">
        <is>
          <t>CCTV YOLO-LLM 안전알림 미도입 현장</t>
        </is>
      </c>
      <c r="E61" s="6" t="n">
        <v>0</v>
      </c>
      <c r="F61" s="6" t="n"/>
      <c r="G61" s="6" t="n"/>
      <c r="H61" s="6" t="inlineStr">
        <is>
          <t>시공사</t>
        </is>
      </c>
      <c r="I61" s="6" t="inlineStr">
        <is>
          <t>여성</t>
        </is>
      </c>
      <c r="J61" s="6" t="n">
        <v>35</v>
      </c>
      <c r="K61" s="6" t="n">
        <v>4</v>
      </c>
      <c r="L61" s="6" t="inlineStr">
        <is>
          <t>안전관리자</t>
        </is>
      </c>
      <c r="M61" s="6" t="inlineStr">
        <is>
          <t>50억 원 이상∼120억 원 미만</t>
        </is>
      </c>
      <c r="N61" s="6" t="inlineStr">
        <is>
          <t>작업자나 반장의 전화·보고</t>
        </is>
      </c>
      <c r="O61" s="6" t="inlineStr">
        <is>
          <t>누군가 알려줄 때</t>
        </is>
      </c>
      <c r="P61" s="6" t="inlineStr">
        <is>
          <t>즉시∼5분</t>
        </is>
      </c>
      <c r="Q61" s="6" t="n">
        <v>3</v>
      </c>
      <c r="R61" s="6" t="n">
        <v>4</v>
      </c>
      <c r="S61" s="6" t="n">
        <v>3</v>
      </c>
      <c r="T61" s="6" t="n">
        <v>4</v>
      </c>
      <c r="U61" s="6" t="n">
        <v>3</v>
      </c>
      <c r="V61" s="6" t="n">
        <v>3</v>
      </c>
      <c r="W61" s="6" t="n">
        <v>4</v>
      </c>
      <c r="X61" s="6" t="n">
        <v>4</v>
      </c>
      <c r="Y61" s="6" t="n">
        <v>4</v>
      </c>
      <c r="Z61" s="6" t="n">
        <v>4</v>
      </c>
      <c r="AA61" s="6" t="n">
        <v>4</v>
      </c>
      <c r="AB61" s="6" t="n">
        <v>3</v>
      </c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>
        <v>1</v>
      </c>
      <c r="AP61" s="6" t="n"/>
    </row>
    <row r="62">
      <c r="A62" s="6" t="inlineStr">
        <is>
          <t>R061</t>
        </is>
      </c>
      <c r="B62" s="6" t="n">
        <v>62</v>
      </c>
      <c r="C62" s="24" t="n">
        <v>46316.40376495371</v>
      </c>
      <c r="D62" s="6" t="inlineStr">
        <is>
          <t>CCTV YOLO-LLM 안전알림 미도입 현장</t>
        </is>
      </c>
      <c r="E62" s="6" t="n">
        <v>0</v>
      </c>
      <c r="F62" s="6" t="n"/>
      <c r="G62" s="6" t="n"/>
      <c r="H62" s="6" t="inlineStr">
        <is>
          <t>시공사</t>
        </is>
      </c>
      <c r="I62" s="6" t="inlineStr">
        <is>
          <t>남성</t>
        </is>
      </c>
      <c r="J62" s="6" t="n">
        <v>32</v>
      </c>
      <c r="K62" s="6" t="n">
        <v>2</v>
      </c>
      <c r="L62" s="6" t="inlineStr">
        <is>
          <t>안전관리자</t>
        </is>
      </c>
      <c r="M62" s="6" t="inlineStr">
        <is>
          <t>120억 원 이상</t>
        </is>
      </c>
      <c r="N62" s="6" t="inlineStr">
        <is>
          <t>작업자나 반장의 전화·보고</t>
        </is>
      </c>
      <c r="O62" s="6" t="inlineStr">
        <is>
          <t>누군가 알려줄 때</t>
        </is>
      </c>
      <c r="P62" s="6" t="inlineStr">
        <is>
          <t>즉시∼5분</t>
        </is>
      </c>
      <c r="Q62" s="6" t="n">
        <v>4</v>
      </c>
      <c r="R62" s="6" t="n">
        <v>4</v>
      </c>
      <c r="S62" s="6" t="n">
        <v>4</v>
      </c>
      <c r="T62" s="6" t="n">
        <v>4</v>
      </c>
      <c r="U62" s="6" t="n">
        <v>4</v>
      </c>
      <c r="V62" s="6" t="n">
        <v>4</v>
      </c>
      <c r="W62" s="6" t="n">
        <v>4</v>
      </c>
      <c r="X62" s="6" t="n">
        <v>4</v>
      </c>
      <c r="Y62" s="6" t="n">
        <v>3</v>
      </c>
      <c r="Z62" s="6" t="n">
        <v>3</v>
      </c>
      <c r="AA62" s="6" t="n">
        <v>3</v>
      </c>
      <c r="AB62" s="6" t="n">
        <v>3</v>
      </c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>
        <v>1</v>
      </c>
      <c r="AP62" s="6" t="n"/>
    </row>
    <row r="63">
      <c r="A63" s="6" t="inlineStr">
        <is>
          <t>R062</t>
        </is>
      </c>
      <c r="B63" s="6" t="n">
        <v>63</v>
      </c>
      <c r="C63" s="24" t="n">
        <v>46316.41122334491</v>
      </c>
      <c r="D63" s="6" t="inlineStr">
        <is>
          <t>CCTV YOLO-LLM 안전알림 도입 현장</t>
        </is>
      </c>
      <c r="E63" s="6" t="n">
        <v>1</v>
      </c>
      <c r="F63" s="6" t="n"/>
      <c r="G63" s="6" t="n"/>
      <c r="H63" s="6" t="inlineStr">
        <is>
          <t>발주청(공사감독·감리원 포함)</t>
        </is>
      </c>
      <c r="I63" s="6" t="inlineStr">
        <is>
          <t>남성</t>
        </is>
      </c>
      <c r="J63" s="6" t="n">
        <v>46</v>
      </c>
      <c r="K63" s="6" t="n">
        <v>6</v>
      </c>
      <c r="L63" s="6" t="inlineStr">
        <is>
          <t>공사감독</t>
        </is>
      </c>
      <c r="M63" s="6" t="inlineStr">
        <is>
          <t>120억 원 이상</t>
        </is>
      </c>
      <c r="N63" s="6" t="inlineStr">
        <is>
          <t>사무실 등에서 CCTV 화면을 직접 본다</t>
        </is>
      </c>
      <c r="O63" s="6" t="inlineStr">
        <is>
          <t>모르고 지나가는 경우가 많다</t>
        </is>
      </c>
      <c r="P63" s="6" t="inlineStr">
        <is>
          <t>5분 초과∼30분</t>
        </is>
      </c>
      <c r="Q63" s="6" t="n">
        <v>3</v>
      </c>
      <c r="R63" s="6" t="n">
        <v>3</v>
      </c>
      <c r="S63" s="6" t="n">
        <v>4</v>
      </c>
      <c r="T63" s="6" t="n">
        <v>2</v>
      </c>
      <c r="U63" s="6" t="n">
        <v>2</v>
      </c>
      <c r="V63" s="6" t="n">
        <v>2</v>
      </c>
      <c r="W63" s="6" t="n">
        <v>3</v>
      </c>
      <c r="X63" s="6" t="n">
        <v>3</v>
      </c>
      <c r="Y63" s="6" t="n">
        <v>2</v>
      </c>
      <c r="Z63" s="6" t="n">
        <v>2</v>
      </c>
      <c r="AA63" s="6" t="n">
        <v>2</v>
      </c>
      <c r="AB63" s="6" t="n">
        <v>2</v>
      </c>
      <c r="AC63" s="6" t="n">
        <v>3</v>
      </c>
      <c r="AD63" s="6" t="n">
        <v>3</v>
      </c>
      <c r="AE63" s="6" t="n">
        <v>3</v>
      </c>
      <c r="AF63" s="6" t="n">
        <v>4</v>
      </c>
      <c r="AG63" s="6" t="n">
        <v>4</v>
      </c>
      <c r="AH63" s="6" t="n">
        <v>4</v>
      </c>
      <c r="AI63" s="6" t="n">
        <v>4</v>
      </c>
      <c r="AJ63" s="6" t="n">
        <v>5</v>
      </c>
      <c r="AK63" s="6" t="n">
        <v>5</v>
      </c>
      <c r="AL63" s="6" t="n">
        <v>5</v>
      </c>
      <c r="AM63" s="6" t="n">
        <v>5</v>
      </c>
      <c r="AN63" s="6" t="n">
        <v>4</v>
      </c>
      <c r="AO63" s="6" t="n">
        <v>1</v>
      </c>
      <c r="AP63" s="6" t="n"/>
    </row>
    <row r="64">
      <c r="A64" s="6" t="inlineStr">
        <is>
          <t>R063</t>
        </is>
      </c>
      <c r="B64" s="6" t="n">
        <v>64</v>
      </c>
      <c r="C64" s="24" t="n">
        <v>46316.47116730324</v>
      </c>
      <c r="D64" s="6" t="inlineStr">
        <is>
          <t>CCTV YOLO-LLM 안전알림 미도입 현장</t>
        </is>
      </c>
      <c r="E64" s="6" t="n">
        <v>0</v>
      </c>
      <c r="F64" s="6" t="n"/>
      <c r="G64" s="6" t="n"/>
      <c r="H64" s="6" t="inlineStr">
        <is>
          <t>시공사</t>
        </is>
      </c>
      <c r="I64" s="6" t="inlineStr">
        <is>
          <t>남성</t>
        </is>
      </c>
      <c r="J64" s="6" t="n">
        <v>61</v>
      </c>
      <c r="K64" s="6" t="n">
        <v>30</v>
      </c>
      <c r="L64" s="6" t="inlineStr">
        <is>
          <t>현장소장</t>
        </is>
      </c>
      <c r="M64" s="6" t="inlineStr">
        <is>
          <t>120억 원 이상</t>
        </is>
      </c>
      <c r="N64" s="6" t="inlineStr">
        <is>
          <t>작업자나 반장의 전화·보고</t>
        </is>
      </c>
      <c r="O64" s="6" t="inlineStr">
        <is>
          <t>누군가 알려줄 때</t>
        </is>
      </c>
      <c r="P64" s="6" t="inlineStr">
        <is>
          <t>즉시∼5분</t>
        </is>
      </c>
      <c r="Q64" s="6" t="n">
        <v>4</v>
      </c>
      <c r="R64" s="6" t="n">
        <v>4</v>
      </c>
      <c r="S64" s="6" t="n">
        <v>3</v>
      </c>
      <c r="T64" s="6" t="n">
        <v>4</v>
      </c>
      <c r="U64" s="6" t="n">
        <v>4</v>
      </c>
      <c r="V64" s="6" t="n">
        <v>3</v>
      </c>
      <c r="W64" s="6" t="n">
        <v>4</v>
      </c>
      <c r="X64" s="6" t="n">
        <v>4</v>
      </c>
      <c r="Y64" s="6" t="n">
        <v>3</v>
      </c>
      <c r="Z64" s="6" t="n">
        <v>4</v>
      </c>
      <c r="AA64" s="6" t="n">
        <v>4</v>
      </c>
      <c r="AB64" s="6" t="n">
        <v>4</v>
      </c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>
        <v>1</v>
      </c>
      <c r="AP64" s="6" t="n"/>
    </row>
    <row r="65">
      <c r="A65" s="6" t="inlineStr">
        <is>
          <t>R064</t>
        </is>
      </c>
      <c r="B65" s="6" t="n">
        <v>65</v>
      </c>
      <c r="C65" s="24" t="n">
        <v>46316.59875673611</v>
      </c>
      <c r="D65" s="6" t="inlineStr">
        <is>
          <t>CCTV YOLO-LLM 안전알림 미도입 현장</t>
        </is>
      </c>
      <c r="E65" s="6" t="n">
        <v>0</v>
      </c>
      <c r="F65" s="6" t="n"/>
      <c r="G65" s="6" t="n"/>
      <c r="H65" s="6" t="inlineStr">
        <is>
          <t>발주청(공사감독·감리원 포함)</t>
        </is>
      </c>
      <c r="I65" s="6" t="inlineStr">
        <is>
          <t>남성</t>
        </is>
      </c>
      <c r="J65" s="6" t="n">
        <v>39</v>
      </c>
      <c r="K65" s="6" t="n">
        <v>2</v>
      </c>
      <c r="L65" s="6" t="inlineStr">
        <is>
          <t>공사감독</t>
        </is>
      </c>
      <c r="M65" s="6" t="inlineStr">
        <is>
          <t>50억 원 이상∼120억 원 미만</t>
        </is>
      </c>
      <c r="N65" s="6" t="inlineStr">
        <is>
          <t>사무실 등에서 CCTV 화면을 직접 본다</t>
        </is>
      </c>
      <c r="O65" s="6" t="inlineStr">
        <is>
          <t>누군가 알려줄 때</t>
        </is>
      </c>
      <c r="P65" s="6" t="inlineStr">
        <is>
          <t>즉시∼5분</t>
        </is>
      </c>
      <c r="Q65" s="6" t="n">
        <v>4</v>
      </c>
      <c r="R65" s="6" t="n">
        <v>4</v>
      </c>
      <c r="S65" s="6" t="n">
        <v>4</v>
      </c>
      <c r="T65" s="6" t="n">
        <v>4</v>
      </c>
      <c r="U65" s="6" t="n">
        <v>3</v>
      </c>
      <c r="V65" s="6" t="n">
        <v>2</v>
      </c>
      <c r="W65" s="6" t="n">
        <v>4</v>
      </c>
      <c r="X65" s="6" t="n">
        <v>3</v>
      </c>
      <c r="Y65" s="6" t="n">
        <v>4</v>
      </c>
      <c r="Z65" s="6" t="n">
        <v>4</v>
      </c>
      <c r="AA65" s="6" t="n">
        <v>4</v>
      </c>
      <c r="AB65" s="6" t="n">
        <v>4</v>
      </c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>
        <v>1</v>
      </c>
      <c r="AP65" s="6" t="n"/>
    </row>
    <row r="66">
      <c r="A66" s="6" t="inlineStr">
        <is>
          <t>R065</t>
        </is>
      </c>
      <c r="B66" s="6" t="n">
        <v>66</v>
      </c>
      <c r="C66" s="24" t="n">
        <v>46316.61122670139</v>
      </c>
      <c r="D66" s="6" t="inlineStr">
        <is>
          <t>CCTV YOLO-LLM 안전알림 도입 현장</t>
        </is>
      </c>
      <c r="E66" s="6" t="n">
        <v>1</v>
      </c>
      <c r="F66" s="6" t="n"/>
      <c r="G66" s="6" t="n"/>
      <c r="H66" s="6" t="inlineStr">
        <is>
          <t>시공사</t>
        </is>
      </c>
      <c r="I66" s="6" t="inlineStr">
        <is>
          <t>남성</t>
        </is>
      </c>
      <c r="J66" s="6" t="n">
        <v>53</v>
      </c>
      <c r="K66" s="6" t="n">
        <v>23</v>
      </c>
      <c r="L66" s="6" t="inlineStr">
        <is>
          <t>안전관리자</t>
        </is>
      </c>
      <c r="M66" s="6" t="inlineStr">
        <is>
          <t>120억 원 이상</t>
        </is>
      </c>
      <c r="N66" s="6" t="inlineStr">
        <is>
          <t>사무실 등에서 CCTV 화면을 직접 본다</t>
        </is>
      </c>
      <c r="O66" s="6" t="inlineStr">
        <is>
          <t>누군가 알려줄 때</t>
        </is>
      </c>
      <c r="P66" s="6" t="inlineStr">
        <is>
          <t>5분 초과∼30분</t>
        </is>
      </c>
      <c r="Q66" s="6" t="n">
        <v>3</v>
      </c>
      <c r="R66" s="6" t="n">
        <v>4</v>
      </c>
      <c r="S66" s="6" t="n">
        <v>3</v>
      </c>
      <c r="T66" s="6" t="n">
        <v>3</v>
      </c>
      <c r="U66" s="6" t="n">
        <v>3</v>
      </c>
      <c r="V66" s="6" t="n">
        <v>3</v>
      </c>
      <c r="W66" s="6" t="n">
        <v>4</v>
      </c>
      <c r="X66" s="6" t="n">
        <v>4</v>
      </c>
      <c r="Y66" s="6" t="n">
        <v>3</v>
      </c>
      <c r="Z66" s="6" t="n">
        <v>3</v>
      </c>
      <c r="AA66" s="6" t="n">
        <v>5</v>
      </c>
      <c r="AB66" s="6" t="n">
        <v>2</v>
      </c>
      <c r="AC66" s="6" t="n">
        <v>4</v>
      </c>
      <c r="AD66" s="6" t="n">
        <v>1</v>
      </c>
      <c r="AE66" s="6" t="n">
        <v>5</v>
      </c>
      <c r="AF66" s="6" t="n">
        <v>3</v>
      </c>
      <c r="AG66" s="6" t="n">
        <v>3</v>
      </c>
      <c r="AH66" s="6" t="n">
        <v>3</v>
      </c>
      <c r="AI66" s="6" t="n">
        <v>4</v>
      </c>
      <c r="AJ66" s="6" t="n">
        <v>3</v>
      </c>
      <c r="AK66" s="6" t="n">
        <v>2</v>
      </c>
      <c r="AL66" s="6" t="n">
        <v>2</v>
      </c>
      <c r="AM66" s="6" t="n">
        <v>3</v>
      </c>
      <c r="AN66" s="6" t="n">
        <v>3</v>
      </c>
      <c r="AO66" s="6" t="n">
        <v>1</v>
      </c>
      <c r="AP66" s="6" t="n"/>
    </row>
    <row r="67">
      <c r="A67" s="6" t="inlineStr">
        <is>
          <t>R066</t>
        </is>
      </c>
      <c r="B67" s="6" t="n">
        <v>67</v>
      </c>
      <c r="C67" s="24" t="n">
        <v>46316.63568921296</v>
      </c>
      <c r="D67" s="6" t="inlineStr">
        <is>
          <t>CCTV YOLO-LLM 안전알림 미도입 현장</t>
        </is>
      </c>
      <c r="E67" s="6" t="n">
        <v>0</v>
      </c>
      <c r="F67" s="6" t="n"/>
      <c r="G67" s="6" t="n"/>
      <c r="H67" s="6" t="inlineStr">
        <is>
          <t>시공사</t>
        </is>
      </c>
      <c r="I67" s="6" t="inlineStr">
        <is>
          <t>여성</t>
        </is>
      </c>
      <c r="J67" s="6" t="n">
        <v>50</v>
      </c>
      <c r="K67" s="6" t="n">
        <v>26</v>
      </c>
      <c r="L67" s="6" t="inlineStr">
        <is>
          <t>공사감독</t>
        </is>
      </c>
      <c r="M67" s="6" t="inlineStr">
        <is>
          <t>20억 원 미만</t>
        </is>
      </c>
      <c r="N67" s="6" t="inlineStr">
        <is>
          <t>작업자나 반장의 전화·보고</t>
        </is>
      </c>
      <c r="O67" s="6" t="inlineStr">
        <is>
          <t>누군가 알려줄 때</t>
        </is>
      </c>
      <c r="P67" s="6" t="inlineStr">
        <is>
          <t>30분 초과∼1시간</t>
        </is>
      </c>
      <c r="Q67" s="6" t="n">
        <v>3</v>
      </c>
      <c r="R67" s="6" t="n">
        <v>3</v>
      </c>
      <c r="S67" s="6" t="n">
        <v>3</v>
      </c>
      <c r="T67" s="6" t="n">
        <v>3</v>
      </c>
      <c r="U67" s="6" t="n">
        <v>3</v>
      </c>
      <c r="V67" s="6" t="n">
        <v>3</v>
      </c>
      <c r="W67" s="6" t="n">
        <v>3</v>
      </c>
      <c r="X67" s="6" t="n">
        <v>3</v>
      </c>
      <c r="Y67" s="6" t="n">
        <v>5</v>
      </c>
      <c r="Z67" s="6" t="n">
        <v>4</v>
      </c>
      <c r="AA67" s="6" t="n">
        <v>4</v>
      </c>
      <c r="AB67" s="6" t="n">
        <v>4</v>
      </c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>
        <v>1</v>
      </c>
      <c r="AP67" s="6" t="n"/>
    </row>
    <row r="68">
      <c r="A68" s="6" t="inlineStr">
        <is>
          <t>R067</t>
        </is>
      </c>
      <c r="B68" s="6" t="n">
        <v>68</v>
      </c>
      <c r="C68" s="24" t="n">
        <v>46316.67491409722</v>
      </c>
      <c r="D68" s="6" t="inlineStr">
        <is>
          <t>CCTV YOLO-LLM 안전알림 미도입 현장</t>
        </is>
      </c>
      <c r="E68" s="6" t="n">
        <v>0</v>
      </c>
      <c r="F68" s="6" t="n"/>
      <c r="G68" s="6" t="n"/>
      <c r="H68" s="6" t="inlineStr">
        <is>
          <t>시공사</t>
        </is>
      </c>
      <c r="I68" s="6" t="inlineStr">
        <is>
          <t>남성</t>
        </is>
      </c>
      <c r="J68" s="6" t="n">
        <v>54</v>
      </c>
      <c r="K68" s="6" t="n">
        <v>5</v>
      </c>
      <c r="L68" s="6" t="inlineStr">
        <is>
          <t>안전관리자</t>
        </is>
      </c>
      <c r="M68" s="6" t="inlineStr">
        <is>
          <t>50억 원 이상∼120억 원 미만</t>
        </is>
      </c>
      <c r="N68" s="6" t="inlineStr">
        <is>
          <t>작업자나 반장의 전화·보고</t>
        </is>
      </c>
      <c r="O68" s="6" t="inlineStr">
        <is>
          <t>누군가 알려줄 때</t>
        </is>
      </c>
      <c r="P68" s="6" t="inlineStr">
        <is>
          <t>즉시∼5분</t>
        </is>
      </c>
      <c r="Q68" s="6" t="n">
        <v>3</v>
      </c>
      <c r="R68" s="6" t="n">
        <v>5</v>
      </c>
      <c r="S68" s="6" t="n">
        <v>4</v>
      </c>
      <c r="T68" s="6" t="n">
        <v>4</v>
      </c>
      <c r="U68" s="6" t="n">
        <v>4</v>
      </c>
      <c r="V68" s="6" t="n">
        <v>4</v>
      </c>
      <c r="W68" s="6" t="n">
        <v>4</v>
      </c>
      <c r="X68" s="6" t="n">
        <v>5</v>
      </c>
      <c r="Y68" s="6" t="n">
        <v>5</v>
      </c>
      <c r="Z68" s="6" t="n">
        <v>5</v>
      </c>
      <c r="AA68" s="6" t="n">
        <v>5</v>
      </c>
      <c r="AB68" s="6" t="n">
        <v>5</v>
      </c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>
        <v>1</v>
      </c>
      <c r="AP68" s="6" t="n"/>
    </row>
    <row r="69">
      <c r="A69" s="6" t="inlineStr">
        <is>
          <t>R068</t>
        </is>
      </c>
      <c r="B69" s="6" t="n">
        <v>69</v>
      </c>
      <c r="C69" s="24" t="n">
        <v>46316.74917450231</v>
      </c>
      <c r="D69" s="6" t="inlineStr">
        <is>
          <t>CCTV YOLO-LLM 안전알림 미도입 현장</t>
        </is>
      </c>
      <c r="E69" s="6" t="n">
        <v>0</v>
      </c>
      <c r="F69" s="6" t="n"/>
      <c r="G69" s="6" t="n"/>
      <c r="H69" s="6" t="inlineStr">
        <is>
          <t>발주청(공사감독·감리원 포함)</t>
        </is>
      </c>
      <c r="I69" s="6" t="inlineStr">
        <is>
          <t>남성</t>
        </is>
      </c>
      <c r="J69" s="6" t="n">
        <v>45</v>
      </c>
      <c r="K69" s="6" t="n">
        <v>21</v>
      </c>
      <c r="L69" s="6" t="inlineStr">
        <is>
          <t>공사감독</t>
        </is>
      </c>
      <c r="M69" s="6" t="inlineStr">
        <is>
          <t>120억 원 이상</t>
        </is>
      </c>
      <c r="N69" s="6" t="inlineStr">
        <is>
          <t>작업자나 반장의 전화·보고</t>
        </is>
      </c>
      <c r="O69" s="6" t="inlineStr">
        <is>
          <t>누군가 알려줄 때</t>
        </is>
      </c>
      <c r="P69" s="6" t="inlineStr">
        <is>
          <t>5분 초과∼30분</t>
        </is>
      </c>
      <c r="Q69" s="6" t="n">
        <v>3</v>
      </c>
      <c r="R69" s="6" t="n">
        <v>3</v>
      </c>
      <c r="S69" s="6" t="n">
        <v>3</v>
      </c>
      <c r="T69" s="6" t="n">
        <v>4</v>
      </c>
      <c r="U69" s="6" t="n">
        <v>4</v>
      </c>
      <c r="V69" s="6" t="n">
        <v>2</v>
      </c>
      <c r="W69" s="6" t="n">
        <v>2</v>
      </c>
      <c r="X69" s="6" t="n">
        <v>3</v>
      </c>
      <c r="Y69" s="6" t="n">
        <v>5</v>
      </c>
      <c r="Z69" s="6" t="n">
        <v>5</v>
      </c>
      <c r="AA69" s="6" t="n">
        <v>5</v>
      </c>
      <c r="AB69" s="6" t="n">
        <v>5</v>
      </c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>
        <v>1</v>
      </c>
      <c r="AP69" s="6" t="n"/>
    </row>
    <row r="70">
      <c r="A70" s="6" t="inlineStr">
        <is>
          <t>R069</t>
        </is>
      </c>
      <c r="B70" s="6" t="n">
        <v>70</v>
      </c>
      <c r="C70" s="24" t="n">
        <v>46316.76340568287</v>
      </c>
      <c r="D70" s="6" t="inlineStr">
        <is>
          <t>CCTV YOLO-LLM 안전알림 미도입 현장</t>
        </is>
      </c>
      <c r="E70" s="6" t="n">
        <v>0</v>
      </c>
      <c r="F70" s="6" t="n"/>
      <c r="G70" s="6" t="n"/>
      <c r="H70" s="6" t="inlineStr">
        <is>
          <t>시공사</t>
        </is>
      </c>
      <c r="I70" s="6" t="inlineStr">
        <is>
          <t>남성</t>
        </is>
      </c>
      <c r="J70" s="6" t="n">
        <v>67</v>
      </c>
      <c r="K70" s="6" t="n">
        <v>10</v>
      </c>
      <c r="L70" s="6" t="inlineStr">
        <is>
          <t>안전관리자</t>
        </is>
      </c>
      <c r="M70" s="6" t="inlineStr">
        <is>
          <t>120억 원 이상</t>
        </is>
      </c>
      <c r="N70" s="6" t="inlineStr">
        <is>
          <t>작업자나 반장의 전화·보고</t>
        </is>
      </c>
      <c r="O70" s="6" t="inlineStr">
        <is>
          <t>누군가 알려줄 때</t>
        </is>
      </c>
      <c r="P70" s="6" t="inlineStr">
        <is>
          <t>5분 초과∼30분</t>
        </is>
      </c>
      <c r="Q70" s="6" t="n">
        <v>3</v>
      </c>
      <c r="R70" s="6" t="n">
        <v>4</v>
      </c>
      <c r="S70" s="6" t="n">
        <v>2</v>
      </c>
      <c r="T70" s="6" t="n">
        <v>3</v>
      </c>
      <c r="U70" s="6" t="n">
        <v>2</v>
      </c>
      <c r="V70" s="6" t="n">
        <v>3</v>
      </c>
      <c r="W70" s="6" t="n">
        <v>4</v>
      </c>
      <c r="X70" s="6" t="n">
        <v>3</v>
      </c>
      <c r="Y70" s="6" t="n">
        <v>4</v>
      </c>
      <c r="Z70" s="6" t="n">
        <v>4</v>
      </c>
      <c r="AA70" s="6" t="n">
        <v>4</v>
      </c>
      <c r="AB70" s="6" t="n">
        <v>3</v>
      </c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>
        <v>1</v>
      </c>
      <c r="AP70" s="6" t="n"/>
    </row>
    <row r="71">
      <c r="A71" s="6" t="inlineStr">
        <is>
          <t>R070</t>
        </is>
      </c>
      <c r="B71" s="6" t="n">
        <v>71</v>
      </c>
      <c r="C71" s="24" t="n">
        <v>46317.52798865741</v>
      </c>
      <c r="D71" s="6" t="inlineStr">
        <is>
          <t>CCTV YOLO-LLM 안전알림 도입 현장</t>
        </is>
      </c>
      <c r="E71" s="6" t="n">
        <v>1</v>
      </c>
      <c r="F71" s="6" t="n"/>
      <c r="G71" s="6" t="n"/>
      <c r="H71" s="6" t="inlineStr">
        <is>
          <t>발주청(공사감독·감리원 포함)</t>
        </is>
      </c>
      <c r="I71" s="6" t="inlineStr">
        <is>
          <t>남성</t>
        </is>
      </c>
      <c r="J71" s="6" t="n">
        <v>33</v>
      </c>
      <c r="K71" s="6" t="n">
        <v>6</v>
      </c>
      <c r="L71" s="6" t="inlineStr">
        <is>
          <t>안전관리자</t>
        </is>
      </c>
      <c r="M71" s="6" t="inlineStr">
        <is>
          <t>50억 원 이상∼120억 원 미만</t>
        </is>
      </c>
      <c r="N71" s="6" t="inlineStr">
        <is>
          <t>사무실 등에서 CCTV 화면을 직접 본다</t>
        </is>
      </c>
      <c r="O71" s="6" t="inlineStr">
        <is>
          <t>모르고 지나가는 경우가 많다</t>
        </is>
      </c>
      <c r="P71" s="6" t="inlineStr">
        <is>
          <t>5분 초과∼30분</t>
        </is>
      </c>
      <c r="Q71" s="6" t="n">
        <v>5</v>
      </c>
      <c r="R71" s="6" t="n">
        <v>5</v>
      </c>
      <c r="S71" s="6" t="n">
        <v>5</v>
      </c>
      <c r="T71" s="6" t="n">
        <v>5</v>
      </c>
      <c r="U71" s="6" t="n">
        <v>4</v>
      </c>
      <c r="V71" s="6" t="n">
        <v>2</v>
      </c>
      <c r="W71" s="6" t="n">
        <v>3</v>
      </c>
      <c r="X71" s="6" t="n">
        <v>5</v>
      </c>
      <c r="Y71" s="6" t="n">
        <v>4</v>
      </c>
      <c r="Z71" s="6" t="n">
        <v>5</v>
      </c>
      <c r="AA71" s="6" t="n">
        <v>5</v>
      </c>
      <c r="AB71" s="6" t="n">
        <v>5</v>
      </c>
      <c r="AC71" s="6" t="n">
        <v>1</v>
      </c>
      <c r="AD71" s="6" t="n">
        <v>3</v>
      </c>
      <c r="AE71" s="6" t="n">
        <v>3</v>
      </c>
      <c r="AF71" s="6" t="n">
        <v>3</v>
      </c>
      <c r="AG71" s="6" t="n">
        <v>3</v>
      </c>
      <c r="AH71" s="6" t="n">
        <v>3</v>
      </c>
      <c r="AI71" s="6" t="n">
        <v>3</v>
      </c>
      <c r="AJ71" s="6" t="n">
        <v>4</v>
      </c>
      <c r="AK71" s="6" t="n">
        <v>3</v>
      </c>
      <c r="AL71" s="6" t="n">
        <v>4</v>
      </c>
      <c r="AM71" s="6" t="n">
        <v>4</v>
      </c>
      <c r="AN71" s="6" t="n">
        <v>4</v>
      </c>
      <c r="AO71" s="6" t="n">
        <v>1</v>
      </c>
      <c r="AP71" s="6" t="n"/>
    </row>
    <row r="72">
      <c r="A72" s="6" t="inlineStr">
        <is>
          <t>R071</t>
        </is>
      </c>
      <c r="B72" s="6" t="n">
        <v>72</v>
      </c>
      <c r="C72" s="24" t="n">
        <v>46318.39823075232</v>
      </c>
      <c r="D72" s="6" t="inlineStr">
        <is>
          <t>CCTV YOLO-LLM 안전알림 도입 현장</t>
        </is>
      </c>
      <c r="E72" s="6" t="n">
        <v>1</v>
      </c>
      <c r="F72" s="6" t="n"/>
      <c r="G72" s="6" t="n"/>
      <c r="H72" s="6" t="inlineStr">
        <is>
          <t>시공사</t>
        </is>
      </c>
      <c r="I72" s="6" t="inlineStr">
        <is>
          <t>남성</t>
        </is>
      </c>
      <c r="J72" s="6" t="n">
        <v>54</v>
      </c>
      <c r="K72" s="6" t="n">
        <v>18</v>
      </c>
      <c r="L72" s="6" t="inlineStr">
        <is>
          <t>현장소장</t>
        </is>
      </c>
      <c r="M72" s="6" t="inlineStr">
        <is>
          <t>120억 원 이상</t>
        </is>
      </c>
      <c r="N72" s="6" t="inlineStr">
        <is>
          <t>자동 알림(문자·메신저·앱)을 받는다</t>
        </is>
      </c>
      <c r="O72" s="6" t="inlineStr">
        <is>
          <t>발생 직후 알림으로</t>
        </is>
      </c>
      <c r="P72" s="6" t="inlineStr">
        <is>
          <t>즉시∼5분</t>
        </is>
      </c>
      <c r="Q72" s="6" t="n">
        <v>4</v>
      </c>
      <c r="R72" s="6" t="n">
        <v>5</v>
      </c>
      <c r="S72" s="6" t="n">
        <v>4</v>
      </c>
      <c r="T72" s="6" t="n">
        <v>5</v>
      </c>
      <c r="U72" s="6" t="n">
        <v>5</v>
      </c>
      <c r="V72" s="6" t="n">
        <v>5</v>
      </c>
      <c r="W72" s="6" t="n">
        <v>5</v>
      </c>
      <c r="X72" s="6" t="n">
        <v>5</v>
      </c>
      <c r="Y72" s="6" t="n">
        <v>3</v>
      </c>
      <c r="Z72" s="6" t="n">
        <v>3</v>
      </c>
      <c r="AA72" s="6" t="n">
        <v>3</v>
      </c>
      <c r="AB72" s="6" t="n">
        <v>3</v>
      </c>
      <c r="AC72" s="6" t="n">
        <v>4</v>
      </c>
      <c r="AD72" s="6" t="n">
        <v>4</v>
      </c>
      <c r="AE72" s="6" t="n">
        <v>4</v>
      </c>
      <c r="AF72" s="6" t="n">
        <v>4</v>
      </c>
      <c r="AG72" s="6" t="n">
        <v>4</v>
      </c>
      <c r="AH72" s="6" t="n">
        <v>4</v>
      </c>
      <c r="AI72" s="6" t="n">
        <v>4</v>
      </c>
      <c r="AJ72" s="6" t="n">
        <v>4</v>
      </c>
      <c r="AK72" s="6" t="n">
        <v>4</v>
      </c>
      <c r="AL72" s="6" t="n">
        <v>4</v>
      </c>
      <c r="AM72" s="6" t="n">
        <v>4</v>
      </c>
      <c r="AN72" s="6" t="n">
        <v>4</v>
      </c>
      <c r="AO72" s="6" t="n">
        <v>1</v>
      </c>
      <c r="AP72" s="6" t="n"/>
    </row>
    <row r="73">
      <c r="A73" s="6" t="inlineStr">
        <is>
          <t>R072</t>
        </is>
      </c>
      <c r="B73" s="6" t="n">
        <v>73</v>
      </c>
      <c r="C73" s="24" t="n">
        <v>46318.44559737269</v>
      </c>
      <c r="D73" s="6" t="inlineStr">
        <is>
          <t>CCTV YOLO-LLM 안전알림 도입 현장</t>
        </is>
      </c>
      <c r="E73" s="6" t="n">
        <v>1</v>
      </c>
      <c r="F73" s="6" t="n"/>
      <c r="G73" s="6" t="n"/>
      <c r="H73" s="6" t="inlineStr">
        <is>
          <t>시공사</t>
        </is>
      </c>
      <c r="I73" s="6" t="inlineStr">
        <is>
          <t>남성</t>
        </is>
      </c>
      <c r="J73" s="6" t="n">
        <v>53</v>
      </c>
      <c r="K73" s="6" t="n">
        <v>25</v>
      </c>
      <c r="L73" s="6" t="inlineStr">
        <is>
          <t>공무</t>
        </is>
      </c>
      <c r="M73" s="6" t="inlineStr">
        <is>
          <t>50억 원 이상∼120억 원 미만</t>
        </is>
      </c>
      <c r="N73" s="6" t="inlineStr">
        <is>
          <t>작업자나 반장의 전화·보고</t>
        </is>
      </c>
      <c r="O73" s="6" t="inlineStr">
        <is>
          <t>누군가 알려줄 때</t>
        </is>
      </c>
      <c r="P73" s="6" t="inlineStr">
        <is>
          <t>1시간 초과 또는 다음 순찰 때</t>
        </is>
      </c>
      <c r="Q73" s="6" t="n">
        <v>4</v>
      </c>
      <c r="R73" s="6" t="n">
        <v>4</v>
      </c>
      <c r="S73" s="6" t="n">
        <v>4</v>
      </c>
      <c r="T73" s="6" t="n">
        <v>4</v>
      </c>
      <c r="U73" s="6" t="n">
        <v>4</v>
      </c>
      <c r="V73" s="6" t="n">
        <v>4</v>
      </c>
      <c r="W73" s="6" t="n">
        <v>4</v>
      </c>
      <c r="X73" s="6" t="n">
        <v>5</v>
      </c>
      <c r="Y73" s="6" t="n">
        <v>2</v>
      </c>
      <c r="Z73" s="6" t="n">
        <v>2</v>
      </c>
      <c r="AA73" s="6" t="n">
        <v>2</v>
      </c>
      <c r="AB73" s="6" t="n">
        <v>2</v>
      </c>
      <c r="AC73" s="6" t="n">
        <v>4</v>
      </c>
      <c r="AD73" s="6" t="n">
        <v>4</v>
      </c>
      <c r="AE73" s="6" t="n">
        <v>4</v>
      </c>
      <c r="AF73" s="6" t="n">
        <v>4</v>
      </c>
      <c r="AG73" s="6" t="n">
        <v>4</v>
      </c>
      <c r="AH73" s="6" t="n">
        <v>4</v>
      </c>
      <c r="AI73" s="6" t="n">
        <v>4</v>
      </c>
      <c r="AJ73" s="6" t="n">
        <v>4</v>
      </c>
      <c r="AK73" s="6" t="n">
        <v>3</v>
      </c>
      <c r="AL73" s="6" t="n">
        <v>4</v>
      </c>
      <c r="AM73" s="6" t="n">
        <v>4</v>
      </c>
      <c r="AN73" s="6" t="n">
        <v>3</v>
      </c>
      <c r="AO73" s="6" t="n">
        <v>1</v>
      </c>
      <c r="AP73" s="6" t="n"/>
    </row>
    <row r="74">
      <c r="A74" s="6" t="inlineStr">
        <is>
          <t>R073</t>
        </is>
      </c>
      <c r="B74" s="6" t="n">
        <v>74</v>
      </c>
      <c r="C74" s="24" t="n">
        <v>46318.48632140047</v>
      </c>
      <c r="D74" s="6" t="inlineStr">
        <is>
          <t>CCTV YOLO-LLM 안전알림 미도입 현장</t>
        </is>
      </c>
      <c r="E74" s="6" t="n">
        <v>0</v>
      </c>
      <c r="F74" s="6" t="n"/>
      <c r="G74" s="6" t="n"/>
      <c r="H74" s="6" t="inlineStr">
        <is>
          <t>발주청(공사감독·감리원 포함)</t>
        </is>
      </c>
      <c r="I74" s="6" t="inlineStr">
        <is>
          <t>남성</t>
        </is>
      </c>
      <c r="J74" s="6" t="n">
        <v>37</v>
      </c>
      <c r="K74" s="6" t="n">
        <v>2</v>
      </c>
      <c r="L74" s="6" t="inlineStr">
        <is>
          <t>설계자</t>
        </is>
      </c>
      <c r="M74" s="6" t="inlineStr">
        <is>
          <t>120억 원 이상</t>
        </is>
      </c>
      <c r="N74" s="6" t="inlineStr">
        <is>
          <t>작업자나 반장의 전화·보고</t>
        </is>
      </c>
      <c r="O74" s="6" t="inlineStr">
        <is>
          <t>모르고 지나가는 경우가 많다</t>
        </is>
      </c>
      <c r="P74" s="6" t="inlineStr">
        <is>
          <t>30분 초과∼1시간</t>
        </is>
      </c>
      <c r="Q74" s="6" t="n">
        <v>1</v>
      </c>
      <c r="R74" s="6" t="n">
        <v>5</v>
      </c>
      <c r="S74" s="6" t="n">
        <v>3</v>
      </c>
      <c r="T74" s="6" t="n">
        <v>1</v>
      </c>
      <c r="U74" s="6" t="n">
        <v>5</v>
      </c>
      <c r="V74" s="6" t="n">
        <v>2</v>
      </c>
      <c r="W74" s="6" t="n">
        <v>3</v>
      </c>
      <c r="X74" s="6" t="n">
        <v>2</v>
      </c>
      <c r="Y74" s="6" t="n">
        <v>5</v>
      </c>
      <c r="Z74" s="6" t="n">
        <v>5</v>
      </c>
      <c r="AA74" s="6" t="n">
        <v>5</v>
      </c>
      <c r="AB74" s="6" t="n">
        <v>4</v>
      </c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>
        <v>1</v>
      </c>
      <c r="AP74" s="6" t="n"/>
    </row>
  </sheetData>
  <autoFilter ref="A1:AP7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selection activeCell="A1" sqref="A1"/>
    </sheetView>
  </sheetViews>
  <sheetFormatPr baseColWidth="8" defaultRowHeight="17"/>
  <cols>
    <col width="18" customWidth="1" min="1" max="1"/>
    <col width="120" customWidth="1" min="2" max="2"/>
  </cols>
  <sheetData>
    <row r="1" ht="17.5" customHeight="1">
      <c r="A1" s="1" t="inlineStr">
        <is>
          <t>설문 응답 정리본</t>
        </is>
      </c>
    </row>
    <row r="3">
      <c r="A3" s="2" t="inlineStr">
        <is>
          <t>목적</t>
        </is>
      </c>
      <c r="B3" s="3" t="inlineStr">
        <is>
          <t>Google Forms 응답 원본(도입/미도입 분기로 열이 두 묶음)을 한 열 세트로 합치고, 숫자 코딩·파생 척도·빈도/기술통계를 정리한 작업본.</t>
        </is>
      </c>
    </row>
    <row r="4">
      <c r="A4" s="2" t="inlineStr">
        <is>
          <t>원본 경로</t>
        </is>
      </c>
      <c r="B4" s="3" t="inlineStr">
        <is>
          <t>01.docs/설문결과/중소규모 건설현장을 위한 YOLO-LLM 안전관제 시스템 개발 및 실증 연구(응답).xlsx</t>
        </is>
      </c>
    </row>
    <row r="5">
      <c r="A5" s="2" t="inlineStr">
        <is>
          <t>원본 SHA256</t>
        </is>
      </c>
      <c r="B5" s="3" t="inlineStr">
        <is>
          <t>e81a9f6fb5e2557024bdade531bd467a6701944a6d458699334ce94d34f68027  (읽기 전용 — 이 파일 생성 전후 불변 확인)</t>
        </is>
      </c>
    </row>
    <row r="6">
      <c r="A6" s="2" t="inlineStr">
        <is>
          <t>생성 시각</t>
        </is>
      </c>
      <c r="B6" s="3" t="inlineStr">
        <is>
          <t>2026-10-24 09:03 (Asia/Seoul)</t>
        </is>
      </c>
    </row>
    <row r="7">
      <c r="A7" s="2" t="inlineStr">
        <is>
          <t>생성 스크립트</t>
        </is>
      </c>
      <c r="B7" s="3" t="inlineStr">
        <is>
          <t>tools/survey_analysis/build_workbook.py (코딩 규칙: tools/survey_analysis/coding.py)</t>
        </is>
      </c>
    </row>
    <row r="8" ht="32" customHeight="1">
      <c r="A8" s="2" t="inlineStr">
        <is>
          <t>코딩 규칙 근거</t>
        </is>
      </c>
      <c r="B8" s="3" t="inlineStr">
        <is>
          <t>03.plan/261024_0850_설문응답_정리_분석_원고반영_계획.md 0.3·0.4절, 문항 전문 01.docs/부록1_설문지_양식.md, 변수 역할 01.docs/04_연구설계.md &lt;표 4-3&gt;</t>
        </is>
      </c>
    </row>
    <row r="9">
      <c r="A9" s="2" t="inlineStr">
        <is>
          <t>응답 수</t>
        </is>
      </c>
      <c r="B9" s="3" t="inlineStr">
        <is>
          <t>전체 73건(도입 34, 미도입 39), 분석 포함 include=1 71건(도입 32, 미도입 39). 시험 응답 2건 제외.</t>
        </is>
      </c>
    </row>
    <row r="10">
      <c r="A10" s="2" t="inlineStr">
        <is>
          <t>집단 기준</t>
        </is>
      </c>
      <c r="B10" s="3" t="inlineStr">
        <is>
          <t>group은 첫 질문의 자기보고 분기값이다. 원고 원칙상 분석용 집단은 조사 명부로 판정하므로 이 값은 '명부 대조 전 자기보고 기준'이다.</t>
        </is>
      </c>
    </row>
    <row r="11">
      <c r="A11" s="2" t="inlineStr">
        <is>
          <t>jamovi 투입</t>
        </is>
      </c>
      <c r="B11" s="3" t="inlineStr">
        <is>
          <t>분석자료 시트 또는 01.docs/설문결과/analysis/coded_data.csv(UTF-8 BOM)를 사용하고 include=1로 필터한다. 성명·현장명은 들어 있지 않다.</t>
        </is>
      </c>
    </row>
    <row r="12">
      <c r="A12" s="2" t="inlineStr">
        <is>
          <t>값 전용 시트</t>
        </is>
      </c>
      <c r="B12" s="3" t="inlineStr">
        <is>
          <t>분석자료는 설계상 값 전용(수식 없음)이다. 파생값은 Python으로 계산했으며 코딩자료의 수식과 같은 규칙이다(검증: 전 셀 일치).</t>
        </is>
      </c>
    </row>
    <row r="13">
      <c r="A13" s="2" t="inlineStr">
        <is>
          <t>색 범례</t>
        </is>
      </c>
      <c r="B13" s="3" t="inlineStr">
        <is>
          <t>파란 글자 = 입력값(원문·코딩값·값 전용 자료), 검은 글자 = 수식, 노란 채움 = D함수 조건 범위(수정 금지).</t>
        </is>
      </c>
    </row>
    <row r="14" ht="32" customHeight="1">
      <c r="A14" s="2" t="inlineStr">
        <is>
          <t>자료 특성 요약</t>
        </is>
      </c>
      <c r="B14" s="3" t="inlineStr">
        <is>
          <t>① 도입 집단 전원 남성(여성은 미도입에만) ② 소속–역할 중복(발주청≈공사감독)으로 설계행렬 순위 결함 가능 ③ 현장명·성명이 5건에만 있어 중복 확인은 타임스탬프·응답 벡터로만 가능(완전 동일 벡터 0건) ④ 집단은 명부 대조 전 자기보고 ⑤ 도입 집단 중 시스템 경로 작동(sys_path=1)은 소수 — 상세는 검토메모.</t>
        </is>
      </c>
    </row>
    <row r="15">
      <c r="A15" s="2" t="inlineStr">
        <is>
          <t>검토메모</t>
        </is>
      </c>
      <c r="B15" s="3" t="inlineStr">
        <is>
          <t>23개 항목. '사용자 확인 필요'·'확인 필요' 상태를 먼저 본다.</t>
        </is>
      </c>
    </row>
    <row r="17">
      <c r="A17" s="4" t="inlineStr">
        <is>
          <t>시트</t>
        </is>
      </c>
      <c r="B17" s="4" t="inlineStr">
        <is>
          <t>설명</t>
        </is>
      </c>
    </row>
    <row r="18">
      <c r="A18" s="5" t="inlineStr">
        <is>
          <t>README</t>
        </is>
      </c>
      <c r="B18" s="3" t="inlineStr">
        <is>
          <t>이 안내</t>
        </is>
      </c>
    </row>
    <row r="19">
      <c r="A19" s="5" t="inlineStr">
        <is>
          <t>원자료_통합</t>
        </is>
      </c>
      <c r="B19" s="3" t="inlineStr">
        <is>
          <t>응답 1건=1행(73행). 두 분기를 한 열 세트(A-1∼E-4)로 합친 원문 텍스트. 미도입의 D·E는 빈칸. 머리글 메모에 문항 전문.</t>
        </is>
      </c>
    </row>
    <row r="20">
      <c r="A20" s="5" t="inlineStr">
        <is>
          <t>코딩자료</t>
        </is>
      </c>
      <c r="B20" s="3" t="inlineStr">
        <is>
          <t>같은 73행의 숫자 코딩값(값) + 파생변수(수식: Y_total·Y1∼Y5·W·D_sub1∼4·D_total·E_total·sys_path). include·exclude_reason.</t>
        </is>
      </c>
    </row>
    <row r="21">
      <c r="A21" s="5" t="inlineStr">
        <is>
          <t>분석자료</t>
        </is>
      </c>
      <c r="B21" s="3" t="inlineStr">
        <is>
          <t>값 전용 jamovi/CSV 투입본. ASCII 변수명, 성명·현장명 제외. coded_data.csv와 동일.</t>
        </is>
      </c>
    </row>
    <row r="22">
      <c r="A22" s="5" t="inlineStr">
        <is>
          <t>코드북</t>
        </is>
      </c>
      <c r="B22" s="3" t="inlineStr">
        <is>
          <t>변수명·블록·문항 전문(부록1)·코딩 규칙·하위요인·분석 역할(&lt;표 4-3&gt;)·비고.</t>
        </is>
      </c>
    </row>
    <row r="23">
      <c r="A23" s="5" t="inlineStr">
        <is>
          <t>빈도_기술통계</t>
        </is>
      </c>
      <c r="B23" s="3" t="inlineStr">
        <is>
          <t>코딩자료를 참조하는 수식(COUNTIFS·D함수). 집단별(도입/미도입/전체, include=1) — 05장 &lt;표 5-1&gt;·&lt;표 5-3&gt; 골격 순서.</t>
        </is>
      </c>
    </row>
    <row r="24">
      <c r="A24" s="5" t="inlineStr">
        <is>
          <t>검토메모</t>
        </is>
      </c>
      <c r="B24" s="3" t="inlineStr">
        <is>
          <t>자료 특성·이상값·결측·중복 의심·제외·검증 결과. 각 건의 resp_id·원본 행·내용·처리·상태.</t>
        </is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7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"/>
  <cols>
    <col width="9.33203125" customWidth="1" min="1" max="1"/>
    <col width="7.6640625" customWidth="1" min="2" max="2"/>
    <col width="7.25" customWidth="1" min="3" max="3"/>
    <col width="8.9140625" customWidth="1" min="4" max="8"/>
    <col width="19.33203125" customWidth="1" min="9" max="9"/>
    <col width="12.75" customWidth="1" min="10" max="11"/>
    <col width="28" customWidth="1" min="12" max="12"/>
    <col width="12.75" customWidth="1" min="13" max="14"/>
    <col width="6" customWidth="1" min="15" max="38"/>
    <col width="9.33203125" customWidth="1" min="39" max="39"/>
    <col width="12.75" customWidth="1" min="40" max="40"/>
    <col width="14.6640625" customWidth="1" min="41" max="41"/>
    <col width="12.75" customWidth="1" min="42" max="42"/>
    <col width="16.58203125" customWidth="1" min="43" max="43"/>
    <col width="14.6640625" customWidth="1" min="44" max="44"/>
    <col width="11.6640625" customWidth="1" min="45" max="45"/>
    <col width="20.75" customWidth="1" min="46" max="46"/>
    <col width="22.6640625" customWidth="1" min="47" max="47"/>
    <col width="18.83203125" customWidth="1" min="48" max="48"/>
    <col width="22.6640625" customWidth="1" min="49" max="49"/>
    <col width="9.33203125" customWidth="1" min="50" max="51"/>
    <col width="10.4140625" customWidth="1" min="52" max="52"/>
    <col width="9.33203125" customWidth="1" min="53" max="53"/>
    <col width="28" customWidth="1" min="54" max="54"/>
  </cols>
  <sheetData>
    <row r="1">
      <c r="A1" s="4" t="inlineStr">
        <is>
          <t>resp_id</t>
        </is>
      </c>
      <c r="B1" s="4" t="inlineStr">
        <is>
          <t>원본행</t>
        </is>
      </c>
      <c r="C1" s="4" t="inlineStr">
        <is>
          <t>group</t>
        </is>
      </c>
      <c r="D1" s="4" t="inlineStr">
        <is>
          <t>A1_소속</t>
        </is>
      </c>
      <c r="E1" s="4" t="inlineStr">
        <is>
          <t>A2_성별</t>
        </is>
      </c>
      <c r="F1" s="4" t="inlineStr">
        <is>
          <t>A3_나이</t>
        </is>
      </c>
      <c r="G1" s="4" t="inlineStr">
        <is>
          <t>A4_경력</t>
        </is>
      </c>
      <c r="H1" s="4" t="inlineStr">
        <is>
          <t>A5_역할</t>
        </is>
      </c>
      <c r="I1" s="4" t="inlineStr">
        <is>
          <t>A5_기타텍스트</t>
        </is>
      </c>
      <c r="J1" s="4" t="inlineStr">
        <is>
          <t>A6_총공사비</t>
        </is>
      </c>
      <c r="K1" s="4" t="inlineStr">
        <is>
          <t>A7_인지경로</t>
        </is>
      </c>
      <c r="L1" s="4" t="inlineStr">
        <is>
          <t>A7_기타텍스트</t>
        </is>
      </c>
      <c r="M1" s="4" t="inlineStr">
        <is>
          <t>A8_인지시점</t>
        </is>
      </c>
      <c r="N1" s="4" t="inlineStr">
        <is>
          <t>A9_전달소요</t>
        </is>
      </c>
      <c r="O1" s="4" t="inlineStr">
        <is>
          <t>B1</t>
        </is>
      </c>
      <c r="P1" s="4" t="inlineStr">
        <is>
          <t>B2</t>
        </is>
      </c>
      <c r="Q1" s="4" t="inlineStr">
        <is>
          <t>B3</t>
        </is>
      </c>
      <c r="R1" s="4" t="inlineStr">
        <is>
          <t>B4</t>
        </is>
      </c>
      <c r="S1" s="4" t="inlineStr">
        <is>
          <t>B5</t>
        </is>
      </c>
      <c r="T1" s="4" t="inlineStr">
        <is>
          <t>B6</t>
        </is>
      </c>
      <c r="U1" s="4" t="inlineStr">
        <is>
          <t>B7</t>
        </is>
      </c>
      <c r="V1" s="4" t="inlineStr">
        <is>
          <t>B8</t>
        </is>
      </c>
      <c r="W1" s="4" t="inlineStr">
        <is>
          <t>C1</t>
        </is>
      </c>
      <c r="X1" s="4" t="inlineStr">
        <is>
          <t>C2</t>
        </is>
      </c>
      <c r="Y1" s="4" t="inlineStr">
        <is>
          <t>C3</t>
        </is>
      </c>
      <c r="Z1" s="4" t="inlineStr">
        <is>
          <t>C4</t>
        </is>
      </c>
      <c r="AA1" s="4" t="inlineStr">
        <is>
          <t>D1</t>
        </is>
      </c>
      <c r="AB1" s="4" t="inlineStr">
        <is>
          <t>D2</t>
        </is>
      </c>
      <c r="AC1" s="4" t="inlineStr">
        <is>
          <t>D3</t>
        </is>
      </c>
      <c r="AD1" s="4" t="inlineStr">
        <is>
          <t>D4</t>
        </is>
      </c>
      <c r="AE1" s="4" t="inlineStr">
        <is>
          <t>D5</t>
        </is>
      </c>
      <c r="AF1" s="4" t="inlineStr">
        <is>
          <t>D6</t>
        </is>
      </c>
      <c r="AG1" s="4" t="inlineStr">
        <is>
          <t>D7</t>
        </is>
      </c>
      <c r="AH1" s="4" t="inlineStr">
        <is>
          <t>D8</t>
        </is>
      </c>
      <c r="AI1" s="4" t="inlineStr">
        <is>
          <t>E1</t>
        </is>
      </c>
      <c r="AJ1" s="4" t="inlineStr">
        <is>
          <t>E2</t>
        </is>
      </c>
      <c r="AK1" s="4" t="inlineStr">
        <is>
          <t>E3</t>
        </is>
      </c>
      <c r="AL1" s="4" t="inlineStr">
        <is>
          <t>E4</t>
        </is>
      </c>
      <c r="AM1" s="4" t="inlineStr">
        <is>
          <t>Y_total</t>
        </is>
      </c>
      <c r="AN1" s="4" t="inlineStr">
        <is>
          <t>Y1_조기인지</t>
        </is>
      </c>
      <c r="AO1" s="4" t="inlineStr">
        <is>
          <t>Y2_대응신속성</t>
        </is>
      </c>
      <c r="AP1" s="4" t="inlineStr">
        <is>
          <t>Y3_원격파악</t>
        </is>
      </c>
      <c r="AQ1" s="4" t="inlineStr">
        <is>
          <t>Y4_순찰부담경감</t>
        </is>
      </c>
      <c r="AR1" s="4" t="inlineStr">
        <is>
          <t>Y5_위험통제력</t>
        </is>
      </c>
      <c r="AS1" s="4" t="inlineStr">
        <is>
          <t>W_예산제약</t>
        </is>
      </c>
      <c r="AT1" s="4" t="inlineStr">
        <is>
          <t>D_sub1_인프라범용성</t>
        </is>
      </c>
      <c r="AU1" s="4" t="inlineStr">
        <is>
          <t>D_sub2_탐지제어안정성</t>
        </is>
      </c>
      <c r="AV1" s="4" t="inlineStr">
        <is>
          <t>D_sub3_오탐필터링</t>
        </is>
      </c>
      <c r="AW1" s="4" t="inlineStr">
        <is>
          <t>D_sub4_알림전파즉각성</t>
        </is>
      </c>
      <c r="AX1" s="4" t="inlineStr">
        <is>
          <t>D_total</t>
        </is>
      </c>
      <c r="AY1" s="4" t="inlineStr">
        <is>
          <t>E_total</t>
        </is>
      </c>
      <c r="AZ1" s="4" t="inlineStr">
        <is>
          <t>sys_path</t>
        </is>
      </c>
      <c r="BA1" s="4" t="inlineStr">
        <is>
          <t>include</t>
        </is>
      </c>
      <c r="BB1" s="4" t="inlineStr">
        <is>
          <t>exclude_reason</t>
        </is>
      </c>
    </row>
    <row r="2">
      <c r="A2" s="6" t="inlineStr">
        <is>
          <t>R001</t>
        </is>
      </c>
      <c r="B2" s="6" t="n">
        <v>2</v>
      </c>
      <c r="C2" s="6" t="n">
        <v>1</v>
      </c>
      <c r="D2" s="6" t="n">
        <v>2</v>
      </c>
      <c r="E2" s="6" t="n">
        <v>1</v>
      </c>
      <c r="F2" s="6" t="n">
        <v>34</v>
      </c>
      <c r="G2" s="6" t="n">
        <v>6</v>
      </c>
      <c r="H2" s="6" t="n">
        <v>1</v>
      </c>
      <c r="I2" s="6" t="n"/>
      <c r="J2" s="6" t="n">
        <v>3</v>
      </c>
      <c r="K2" s="6" t="n">
        <v>3</v>
      </c>
      <c r="L2" s="6" t="n"/>
      <c r="M2" s="6" t="n">
        <v>3</v>
      </c>
      <c r="N2" s="6" t="n">
        <v>2</v>
      </c>
      <c r="O2" s="6" t="n">
        <v>3</v>
      </c>
      <c r="P2" s="6" t="n">
        <v>3</v>
      </c>
      <c r="Q2" s="6" t="n">
        <v>3</v>
      </c>
      <c r="R2" s="6" t="n">
        <v>3</v>
      </c>
      <c r="S2" s="6" t="n">
        <v>3</v>
      </c>
      <c r="T2" s="6" t="n">
        <v>3</v>
      </c>
      <c r="U2" s="6" t="n">
        <v>3</v>
      </c>
      <c r="V2" s="6" t="n">
        <v>3</v>
      </c>
      <c r="W2" s="6" t="n">
        <v>3</v>
      </c>
      <c r="X2" s="6" t="n">
        <v>3</v>
      </c>
      <c r="Y2" s="6" t="n">
        <v>3</v>
      </c>
      <c r="Z2" s="6" t="n">
        <v>3</v>
      </c>
      <c r="AA2" s="6" t="n">
        <v>3</v>
      </c>
      <c r="AB2" s="6" t="n">
        <v>3</v>
      </c>
      <c r="AC2" s="6" t="n">
        <v>3</v>
      </c>
      <c r="AD2" s="6" t="n">
        <v>3</v>
      </c>
      <c r="AE2" s="6" t="n">
        <v>3</v>
      </c>
      <c r="AF2" s="6" t="n">
        <v>3</v>
      </c>
      <c r="AG2" s="6" t="n">
        <v>3</v>
      </c>
      <c r="AH2" s="6" t="n">
        <v>3</v>
      </c>
      <c r="AI2" s="6" t="n">
        <v>3</v>
      </c>
      <c r="AJ2" s="6" t="n">
        <v>3</v>
      </c>
      <c r="AK2" s="6" t="n">
        <v>3</v>
      </c>
      <c r="AL2" s="6" t="n">
        <v>3</v>
      </c>
      <c r="AM2" s="25">
        <f>IF(COUNT(O2:V2)&lt;8,"",AVERAGE(O2:V2))</f>
        <v/>
      </c>
      <c r="AN2" s="25">
        <f>IF(COUNT(O2:O2)&lt;1,"",AVERAGE(O2:O2))</f>
        <v/>
      </c>
      <c r="AO2" s="25">
        <f>IF(COUNT(P2:P2)&lt;1,"",AVERAGE(P2:P2))</f>
        <v/>
      </c>
      <c r="AP2" s="25">
        <f>IF(COUNT(Q2:R2)&lt;2,"",AVERAGE(Q2:R2))</f>
        <v/>
      </c>
      <c r="AQ2" s="25">
        <f>IF(COUNT(S2:T2)&lt;2,"",AVERAGE(S2:T2))</f>
        <v/>
      </c>
      <c r="AR2" s="25">
        <f>IF(COUNT(U2:V2)&lt;2,"",AVERAGE(U2:V2))</f>
        <v/>
      </c>
      <c r="AS2" s="25">
        <f>IF(COUNT(W2:Z2)&lt;4,"",AVERAGE(W2:Z2))</f>
        <v/>
      </c>
      <c r="AT2" s="25">
        <f>IF($C2&lt;&gt;1,"",IF(COUNT(AA2:AB2)&lt;2,"",AVERAGE(AA2:AB2)))</f>
        <v/>
      </c>
      <c r="AU2" s="25">
        <f>IF($C2&lt;&gt;1,"",IF(COUNT(AC2:AD2)&lt;2,"",AVERAGE(AC2:AD2)))</f>
        <v/>
      </c>
      <c r="AV2" s="25">
        <f>IF($C2&lt;&gt;1,"",IF(COUNT(AE2:AF2)&lt;2,"",AVERAGE(AE2:AF2)))</f>
        <v/>
      </c>
      <c r="AW2" s="25">
        <f>IF($C2&lt;&gt;1,"",IF(COUNT(AG2:AH2)&lt;2,"",AVERAGE(AG2:AH2)))</f>
        <v/>
      </c>
      <c r="AX2" s="25">
        <f>IF($C2&lt;&gt;1,"",IF(COUNT(AA2:AH2)&lt;8,"",AVERAGE(AA2:AH2)))</f>
        <v/>
      </c>
      <c r="AY2" s="25">
        <f>IF($C2&lt;&gt;1,"",IF(COUNT(AI2:AL2)&lt;4,"",AVERAGE(AI2:AL2)))</f>
        <v/>
      </c>
      <c r="AZ2" s="9">
        <f>IF($C2&lt;&gt;1,"",IF(OR(K2="",M2=""),"",IF(AND(OR(K2=3,K2=4),M2=3),1,0)))</f>
        <v/>
      </c>
      <c r="BA2" s="6" t="n">
        <v>0</v>
      </c>
      <c r="BB2" s="6" t="inlineStr">
        <is>
          <t>시험 응답(현장명 '테스트')</t>
        </is>
      </c>
    </row>
    <row r="3">
      <c r="A3" s="6" t="inlineStr">
        <is>
          <t>R002</t>
        </is>
      </c>
      <c r="B3" s="6" t="n">
        <v>3</v>
      </c>
      <c r="C3" s="6" t="n">
        <v>1</v>
      </c>
      <c r="D3" s="6" t="n">
        <v>2</v>
      </c>
      <c r="E3" s="6" t="n">
        <v>1</v>
      </c>
      <c r="F3" s="6" t="n">
        <v>38</v>
      </c>
      <c r="G3" s="6" t="n">
        <v>11</v>
      </c>
      <c r="H3" s="6" t="n">
        <v>1</v>
      </c>
      <c r="I3" s="6" t="n"/>
      <c r="J3" s="6" t="n">
        <v>1</v>
      </c>
      <c r="K3" s="6" t="n">
        <v>1</v>
      </c>
      <c r="L3" s="6" t="n"/>
      <c r="M3" s="6" t="n">
        <v>1</v>
      </c>
      <c r="N3" s="6" t="n">
        <v>1</v>
      </c>
      <c r="O3" s="6" t="n">
        <v>5</v>
      </c>
      <c r="P3" s="6" t="n">
        <v>5</v>
      </c>
      <c r="Q3" s="6" t="n">
        <v>5</v>
      </c>
      <c r="R3" s="6" t="n">
        <v>5</v>
      </c>
      <c r="S3" s="6" t="n">
        <v>5</v>
      </c>
      <c r="T3" s="6" t="n">
        <v>5</v>
      </c>
      <c r="U3" s="6" t="n">
        <v>5</v>
      </c>
      <c r="V3" s="6" t="n">
        <v>5</v>
      </c>
      <c r="W3" s="6" t="n">
        <v>5</v>
      </c>
      <c r="X3" s="6" t="n">
        <v>5</v>
      </c>
      <c r="Y3" s="6" t="n">
        <v>5</v>
      </c>
      <c r="Z3" s="6" t="n">
        <v>5</v>
      </c>
      <c r="AA3" s="6" t="n">
        <v>5</v>
      </c>
      <c r="AB3" s="6" t="n">
        <v>5</v>
      </c>
      <c r="AC3" s="6" t="n">
        <v>5</v>
      </c>
      <c r="AD3" s="6" t="n">
        <v>5</v>
      </c>
      <c r="AE3" s="6" t="n">
        <v>5</v>
      </c>
      <c r="AF3" s="6" t="n">
        <v>5</v>
      </c>
      <c r="AG3" s="6" t="n">
        <v>5</v>
      </c>
      <c r="AH3" s="6" t="n">
        <v>5</v>
      </c>
      <c r="AI3" s="6" t="n">
        <v>5</v>
      </c>
      <c r="AJ3" s="6" t="n">
        <v>5</v>
      </c>
      <c r="AK3" s="6" t="n">
        <v>5</v>
      </c>
      <c r="AL3" s="6" t="n">
        <v>5</v>
      </c>
      <c r="AM3" s="25">
        <f>IF(COUNT(O3:V3)&lt;8,"",AVERAGE(O3:V3))</f>
        <v/>
      </c>
      <c r="AN3" s="25">
        <f>IF(COUNT(O3:O3)&lt;1,"",AVERAGE(O3:O3))</f>
        <v/>
      </c>
      <c r="AO3" s="25">
        <f>IF(COUNT(P3:P3)&lt;1,"",AVERAGE(P3:P3))</f>
        <v/>
      </c>
      <c r="AP3" s="25">
        <f>IF(COUNT(Q3:R3)&lt;2,"",AVERAGE(Q3:R3))</f>
        <v/>
      </c>
      <c r="AQ3" s="25">
        <f>IF(COUNT(S3:T3)&lt;2,"",AVERAGE(S3:T3))</f>
        <v/>
      </c>
      <c r="AR3" s="25">
        <f>IF(COUNT(U3:V3)&lt;2,"",AVERAGE(U3:V3))</f>
        <v/>
      </c>
      <c r="AS3" s="25">
        <f>IF(COUNT(W3:Z3)&lt;4,"",AVERAGE(W3:Z3))</f>
        <v/>
      </c>
      <c r="AT3" s="25">
        <f>IF($C3&lt;&gt;1,"",IF(COUNT(AA3:AB3)&lt;2,"",AVERAGE(AA3:AB3)))</f>
        <v/>
      </c>
      <c r="AU3" s="25">
        <f>IF($C3&lt;&gt;1,"",IF(COUNT(AC3:AD3)&lt;2,"",AVERAGE(AC3:AD3)))</f>
        <v/>
      </c>
      <c r="AV3" s="25">
        <f>IF($C3&lt;&gt;1,"",IF(COUNT(AE3:AF3)&lt;2,"",AVERAGE(AE3:AF3)))</f>
        <v/>
      </c>
      <c r="AW3" s="25">
        <f>IF($C3&lt;&gt;1,"",IF(COUNT(AG3:AH3)&lt;2,"",AVERAGE(AG3:AH3)))</f>
        <v/>
      </c>
      <c r="AX3" s="25">
        <f>IF($C3&lt;&gt;1,"",IF(COUNT(AA3:AH3)&lt;8,"",AVERAGE(AA3:AH3)))</f>
        <v/>
      </c>
      <c r="AY3" s="25">
        <f>IF($C3&lt;&gt;1,"",IF(COUNT(AI3:AL3)&lt;4,"",AVERAGE(AI3:AL3)))</f>
        <v/>
      </c>
      <c r="AZ3" s="9">
        <f>IF($C3&lt;&gt;1,"",IF(OR(K3="",M3=""),"",IF(AND(OR(K3=3,K3=4),M3=3),1,0)))</f>
        <v/>
      </c>
      <c r="BA3" s="6" t="n">
        <v>0</v>
      </c>
      <c r="BB3" s="6" t="inlineStr">
        <is>
          <t>연구자 본인 시험 응답(현장명 '없음')</t>
        </is>
      </c>
    </row>
    <row r="4">
      <c r="A4" s="6" t="inlineStr">
        <is>
          <t>R003</t>
        </is>
      </c>
      <c r="B4" s="6" t="n">
        <v>4</v>
      </c>
      <c r="C4" s="6" t="n">
        <v>0</v>
      </c>
      <c r="D4" s="6" t="n">
        <v>1</v>
      </c>
      <c r="E4" s="6" t="n">
        <v>1</v>
      </c>
      <c r="F4" s="6" t="n">
        <v>58</v>
      </c>
      <c r="G4" s="6" t="n">
        <v>35</v>
      </c>
      <c r="H4" s="6" t="n">
        <v>3</v>
      </c>
      <c r="I4" s="6" t="n"/>
      <c r="J4" s="6" t="n">
        <v>2</v>
      </c>
      <c r="K4" s="6" t="n">
        <v>2</v>
      </c>
      <c r="L4" s="6" t="n"/>
      <c r="M4" s="6" t="n">
        <v>2</v>
      </c>
      <c r="N4" s="6" t="n">
        <v>2</v>
      </c>
      <c r="O4" s="6" t="n">
        <v>3</v>
      </c>
      <c r="P4" s="6" t="n">
        <v>3</v>
      </c>
      <c r="Q4" s="6" t="n">
        <v>2</v>
      </c>
      <c r="R4" s="6" t="n">
        <v>2</v>
      </c>
      <c r="S4" s="6" t="n">
        <v>2</v>
      </c>
      <c r="T4" s="6" t="n">
        <v>3</v>
      </c>
      <c r="U4" s="6" t="n">
        <v>3</v>
      </c>
      <c r="V4" s="6" t="n">
        <v>4</v>
      </c>
      <c r="W4" s="6" t="n">
        <v>4</v>
      </c>
      <c r="X4" s="6" t="n">
        <v>4</v>
      </c>
      <c r="Y4" s="6" t="n">
        <v>4</v>
      </c>
      <c r="Z4" s="6" t="n">
        <v>4</v>
      </c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25">
        <f>IF(COUNT(O4:V4)&lt;8,"",AVERAGE(O4:V4))</f>
        <v/>
      </c>
      <c r="AN4" s="25">
        <f>IF(COUNT(O4:O4)&lt;1,"",AVERAGE(O4:O4))</f>
        <v/>
      </c>
      <c r="AO4" s="25">
        <f>IF(COUNT(P4:P4)&lt;1,"",AVERAGE(P4:P4))</f>
        <v/>
      </c>
      <c r="AP4" s="25">
        <f>IF(COUNT(Q4:R4)&lt;2,"",AVERAGE(Q4:R4))</f>
        <v/>
      </c>
      <c r="AQ4" s="25">
        <f>IF(COUNT(S4:T4)&lt;2,"",AVERAGE(S4:T4))</f>
        <v/>
      </c>
      <c r="AR4" s="25">
        <f>IF(COUNT(U4:V4)&lt;2,"",AVERAGE(U4:V4))</f>
        <v/>
      </c>
      <c r="AS4" s="25">
        <f>IF(COUNT(W4:Z4)&lt;4,"",AVERAGE(W4:Z4))</f>
        <v/>
      </c>
      <c r="AT4" s="25">
        <f>IF($C4&lt;&gt;1,"",IF(COUNT(AA4:AB4)&lt;2,"",AVERAGE(AA4:AB4)))</f>
        <v/>
      </c>
      <c r="AU4" s="25">
        <f>IF($C4&lt;&gt;1,"",IF(COUNT(AC4:AD4)&lt;2,"",AVERAGE(AC4:AD4)))</f>
        <v/>
      </c>
      <c r="AV4" s="25">
        <f>IF($C4&lt;&gt;1,"",IF(COUNT(AE4:AF4)&lt;2,"",AVERAGE(AE4:AF4)))</f>
        <v/>
      </c>
      <c r="AW4" s="25">
        <f>IF($C4&lt;&gt;1,"",IF(COUNT(AG4:AH4)&lt;2,"",AVERAGE(AG4:AH4)))</f>
        <v/>
      </c>
      <c r="AX4" s="25">
        <f>IF($C4&lt;&gt;1,"",IF(COUNT(AA4:AH4)&lt;8,"",AVERAGE(AA4:AH4)))</f>
        <v/>
      </c>
      <c r="AY4" s="25">
        <f>IF($C4&lt;&gt;1,"",IF(COUNT(AI4:AL4)&lt;4,"",AVERAGE(AI4:AL4)))</f>
        <v/>
      </c>
      <c r="AZ4" s="9">
        <f>IF($C4&lt;&gt;1,"",IF(OR(K4="",M4=""),"",IF(AND(OR(K4=3,K4=4),M4=3),1,0)))</f>
        <v/>
      </c>
      <c r="BA4" s="6" t="n">
        <v>1</v>
      </c>
      <c r="BB4" s="6" t="n"/>
    </row>
    <row r="5">
      <c r="A5" s="6" t="inlineStr">
        <is>
          <t>R004</t>
        </is>
      </c>
      <c r="B5" s="6" t="n">
        <v>5</v>
      </c>
      <c r="C5" s="6" t="n">
        <v>0</v>
      </c>
      <c r="D5" s="6" t="n">
        <v>1</v>
      </c>
      <c r="E5" s="6" t="n">
        <v>1</v>
      </c>
      <c r="F5" s="6" t="n">
        <v>63</v>
      </c>
      <c r="G5" s="6" t="n">
        <v>34</v>
      </c>
      <c r="H5" s="6" t="n">
        <v>3</v>
      </c>
      <c r="I5" s="6" t="n"/>
      <c r="J5" s="6" t="n">
        <v>3</v>
      </c>
      <c r="K5" s="6" t="n">
        <v>2</v>
      </c>
      <c r="L5" s="6" t="n"/>
      <c r="M5" s="6" t="n">
        <v>2</v>
      </c>
      <c r="N5" s="6" t="n">
        <v>2</v>
      </c>
      <c r="O5" s="6" t="n">
        <v>4</v>
      </c>
      <c r="P5" s="6" t="n">
        <v>4</v>
      </c>
      <c r="Q5" s="6" t="n">
        <v>4</v>
      </c>
      <c r="R5" s="6" t="n">
        <v>3</v>
      </c>
      <c r="S5" s="6" t="n">
        <v>3</v>
      </c>
      <c r="T5" s="6" t="n">
        <v>4</v>
      </c>
      <c r="U5" s="6" t="n">
        <v>4</v>
      </c>
      <c r="V5" s="6" t="n">
        <v>3</v>
      </c>
      <c r="W5" s="6" t="n">
        <v>3</v>
      </c>
      <c r="X5" s="6" t="n">
        <v>3</v>
      </c>
      <c r="Y5" s="6" t="n">
        <v>3</v>
      </c>
      <c r="Z5" s="6" t="n">
        <v>3</v>
      </c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25">
        <f>IF(COUNT(O5:V5)&lt;8,"",AVERAGE(O5:V5))</f>
        <v/>
      </c>
      <c r="AN5" s="25">
        <f>IF(COUNT(O5:O5)&lt;1,"",AVERAGE(O5:O5))</f>
        <v/>
      </c>
      <c r="AO5" s="25">
        <f>IF(COUNT(P5:P5)&lt;1,"",AVERAGE(P5:P5))</f>
        <v/>
      </c>
      <c r="AP5" s="25">
        <f>IF(COUNT(Q5:R5)&lt;2,"",AVERAGE(Q5:R5))</f>
        <v/>
      </c>
      <c r="AQ5" s="25">
        <f>IF(COUNT(S5:T5)&lt;2,"",AVERAGE(S5:T5))</f>
        <v/>
      </c>
      <c r="AR5" s="25">
        <f>IF(COUNT(U5:V5)&lt;2,"",AVERAGE(U5:V5))</f>
        <v/>
      </c>
      <c r="AS5" s="25">
        <f>IF(COUNT(W5:Z5)&lt;4,"",AVERAGE(W5:Z5))</f>
        <v/>
      </c>
      <c r="AT5" s="25">
        <f>IF($C5&lt;&gt;1,"",IF(COUNT(AA5:AB5)&lt;2,"",AVERAGE(AA5:AB5)))</f>
        <v/>
      </c>
      <c r="AU5" s="25">
        <f>IF($C5&lt;&gt;1,"",IF(COUNT(AC5:AD5)&lt;2,"",AVERAGE(AC5:AD5)))</f>
        <v/>
      </c>
      <c r="AV5" s="25">
        <f>IF($C5&lt;&gt;1,"",IF(COUNT(AE5:AF5)&lt;2,"",AVERAGE(AE5:AF5)))</f>
        <v/>
      </c>
      <c r="AW5" s="25">
        <f>IF($C5&lt;&gt;1,"",IF(COUNT(AG5:AH5)&lt;2,"",AVERAGE(AG5:AH5)))</f>
        <v/>
      </c>
      <c r="AX5" s="25">
        <f>IF($C5&lt;&gt;1,"",IF(COUNT(AA5:AH5)&lt;8,"",AVERAGE(AA5:AH5)))</f>
        <v/>
      </c>
      <c r="AY5" s="25">
        <f>IF($C5&lt;&gt;1,"",IF(COUNT(AI5:AL5)&lt;4,"",AVERAGE(AI5:AL5)))</f>
        <v/>
      </c>
      <c r="AZ5" s="9">
        <f>IF($C5&lt;&gt;1,"",IF(OR(K5="",M5=""),"",IF(AND(OR(K5=3,K5=4),M5=3),1,0)))</f>
        <v/>
      </c>
      <c r="BA5" s="6" t="n">
        <v>1</v>
      </c>
      <c r="BB5" s="6" t="n"/>
    </row>
    <row r="6">
      <c r="A6" s="6" t="inlineStr">
        <is>
          <t>R005</t>
        </is>
      </c>
      <c r="B6" s="6" t="n">
        <v>6</v>
      </c>
      <c r="C6" s="6" t="n">
        <v>1</v>
      </c>
      <c r="D6" s="6" t="n">
        <v>2</v>
      </c>
      <c r="E6" s="6" t="n">
        <v>1</v>
      </c>
      <c r="F6" s="6" t="n">
        <v>48</v>
      </c>
      <c r="G6" s="6" t="n">
        <v>9</v>
      </c>
      <c r="H6" s="6" t="n">
        <v>1</v>
      </c>
      <c r="I6" s="6" t="n"/>
      <c r="J6" s="6" t="n">
        <v>3</v>
      </c>
      <c r="K6" s="6" t="n">
        <v>2</v>
      </c>
      <c r="L6" s="6" t="n"/>
      <c r="M6" s="6" t="n">
        <v>1</v>
      </c>
      <c r="N6" s="6" t="n">
        <v>1</v>
      </c>
      <c r="O6" s="6" t="n">
        <v>3</v>
      </c>
      <c r="P6" s="6" t="n">
        <v>4</v>
      </c>
      <c r="Q6" s="6" t="n">
        <v>3</v>
      </c>
      <c r="R6" s="6" t="n">
        <v>4</v>
      </c>
      <c r="S6" s="6" t="n">
        <v>4</v>
      </c>
      <c r="T6" s="6" t="n">
        <v>4</v>
      </c>
      <c r="U6" s="6" t="n">
        <v>4</v>
      </c>
      <c r="V6" s="6" t="n">
        <v>4</v>
      </c>
      <c r="W6" s="6" t="n">
        <v>3</v>
      </c>
      <c r="X6" s="6" t="n">
        <v>3</v>
      </c>
      <c r="Y6" s="6" t="n">
        <v>3</v>
      </c>
      <c r="Z6" s="6" t="n">
        <v>3</v>
      </c>
      <c r="AA6" s="6" t="n">
        <v>3</v>
      </c>
      <c r="AB6" s="6" t="n">
        <v>3</v>
      </c>
      <c r="AC6" s="6" t="n">
        <v>4</v>
      </c>
      <c r="AD6" s="6" t="n">
        <v>4</v>
      </c>
      <c r="AE6" s="6" t="n">
        <v>4</v>
      </c>
      <c r="AF6" s="6" t="n">
        <v>3</v>
      </c>
      <c r="AG6" s="6" t="n">
        <v>4</v>
      </c>
      <c r="AH6" s="6" t="n">
        <v>4</v>
      </c>
      <c r="AI6" s="6" t="n">
        <v>4</v>
      </c>
      <c r="AJ6" s="6" t="n">
        <v>4</v>
      </c>
      <c r="AK6" s="6" t="n">
        <v>4</v>
      </c>
      <c r="AL6" s="6" t="n">
        <v>4</v>
      </c>
      <c r="AM6" s="25">
        <f>IF(COUNT(O6:V6)&lt;8,"",AVERAGE(O6:V6))</f>
        <v/>
      </c>
      <c r="AN6" s="25">
        <f>IF(COUNT(O6:O6)&lt;1,"",AVERAGE(O6:O6))</f>
        <v/>
      </c>
      <c r="AO6" s="25">
        <f>IF(COUNT(P6:P6)&lt;1,"",AVERAGE(P6:P6))</f>
        <v/>
      </c>
      <c r="AP6" s="25">
        <f>IF(COUNT(Q6:R6)&lt;2,"",AVERAGE(Q6:R6))</f>
        <v/>
      </c>
      <c r="AQ6" s="25">
        <f>IF(COUNT(S6:T6)&lt;2,"",AVERAGE(S6:T6))</f>
        <v/>
      </c>
      <c r="AR6" s="25">
        <f>IF(COUNT(U6:V6)&lt;2,"",AVERAGE(U6:V6))</f>
        <v/>
      </c>
      <c r="AS6" s="25">
        <f>IF(COUNT(W6:Z6)&lt;4,"",AVERAGE(W6:Z6))</f>
        <v/>
      </c>
      <c r="AT6" s="25">
        <f>IF($C6&lt;&gt;1,"",IF(COUNT(AA6:AB6)&lt;2,"",AVERAGE(AA6:AB6)))</f>
        <v/>
      </c>
      <c r="AU6" s="25">
        <f>IF($C6&lt;&gt;1,"",IF(COUNT(AC6:AD6)&lt;2,"",AVERAGE(AC6:AD6)))</f>
        <v/>
      </c>
      <c r="AV6" s="25">
        <f>IF($C6&lt;&gt;1,"",IF(COUNT(AE6:AF6)&lt;2,"",AVERAGE(AE6:AF6)))</f>
        <v/>
      </c>
      <c r="AW6" s="25">
        <f>IF($C6&lt;&gt;1,"",IF(COUNT(AG6:AH6)&lt;2,"",AVERAGE(AG6:AH6)))</f>
        <v/>
      </c>
      <c r="AX6" s="25">
        <f>IF($C6&lt;&gt;1,"",IF(COUNT(AA6:AH6)&lt;8,"",AVERAGE(AA6:AH6)))</f>
        <v/>
      </c>
      <c r="AY6" s="25">
        <f>IF($C6&lt;&gt;1,"",IF(COUNT(AI6:AL6)&lt;4,"",AVERAGE(AI6:AL6)))</f>
        <v/>
      </c>
      <c r="AZ6" s="9">
        <f>IF($C6&lt;&gt;1,"",IF(OR(K6="",M6=""),"",IF(AND(OR(K6=3,K6=4),M6=3),1,0)))</f>
        <v/>
      </c>
      <c r="BA6" s="6" t="n">
        <v>1</v>
      </c>
      <c r="BB6" s="6" t="n"/>
    </row>
    <row r="7">
      <c r="A7" s="6" t="inlineStr">
        <is>
          <t>R006</t>
        </is>
      </c>
      <c r="B7" s="6" t="n">
        <v>7</v>
      </c>
      <c r="C7" s="6" t="n">
        <v>1</v>
      </c>
      <c r="D7" s="6" t="n">
        <v>1</v>
      </c>
      <c r="E7" s="6" t="n">
        <v>1</v>
      </c>
      <c r="F7" s="6" t="n">
        <v>50</v>
      </c>
      <c r="G7" s="6" t="n">
        <v>25</v>
      </c>
      <c r="H7" s="6" t="n">
        <v>2</v>
      </c>
      <c r="I7" s="6" t="n"/>
      <c r="J7" s="6" t="n">
        <v>4</v>
      </c>
      <c r="K7" s="6" t="n">
        <v>2</v>
      </c>
      <c r="L7" s="6" t="n"/>
      <c r="M7" s="6" t="n">
        <v>1</v>
      </c>
      <c r="N7" s="6" t="n">
        <v>2</v>
      </c>
      <c r="O7" s="6" t="n">
        <v>3</v>
      </c>
      <c r="P7" s="6" t="n">
        <v>3</v>
      </c>
      <c r="Q7" s="6" t="n">
        <v>4</v>
      </c>
      <c r="R7" s="6" t="n">
        <v>4</v>
      </c>
      <c r="S7" s="6" t="n">
        <v>4</v>
      </c>
      <c r="T7" s="6" t="n">
        <v>4</v>
      </c>
      <c r="U7" s="6" t="n">
        <v>4</v>
      </c>
      <c r="V7" s="6" t="n">
        <v>4</v>
      </c>
      <c r="W7" s="6" t="n">
        <v>5</v>
      </c>
      <c r="X7" s="6" t="n">
        <v>5</v>
      </c>
      <c r="Y7" s="6" t="n">
        <v>5</v>
      </c>
      <c r="Z7" s="6" t="n">
        <v>4</v>
      </c>
      <c r="AA7" s="6" t="n">
        <v>4</v>
      </c>
      <c r="AB7" s="6" t="n">
        <v>4</v>
      </c>
      <c r="AC7" s="6" t="n">
        <v>4</v>
      </c>
      <c r="AD7" s="6" t="n">
        <v>4</v>
      </c>
      <c r="AE7" s="6" t="n">
        <v>4</v>
      </c>
      <c r="AF7" s="6" t="n">
        <v>4</v>
      </c>
      <c r="AG7" s="6" t="n">
        <v>4</v>
      </c>
      <c r="AH7" s="6" t="n">
        <v>4</v>
      </c>
      <c r="AI7" s="6" t="n">
        <v>4</v>
      </c>
      <c r="AJ7" s="6" t="n">
        <v>4</v>
      </c>
      <c r="AK7" s="6" t="n">
        <v>4</v>
      </c>
      <c r="AL7" s="6" t="n">
        <v>4</v>
      </c>
      <c r="AM7" s="25">
        <f>IF(COUNT(O7:V7)&lt;8,"",AVERAGE(O7:V7))</f>
        <v/>
      </c>
      <c r="AN7" s="25">
        <f>IF(COUNT(O7:O7)&lt;1,"",AVERAGE(O7:O7))</f>
        <v/>
      </c>
      <c r="AO7" s="25">
        <f>IF(COUNT(P7:P7)&lt;1,"",AVERAGE(P7:P7))</f>
        <v/>
      </c>
      <c r="AP7" s="25">
        <f>IF(COUNT(Q7:R7)&lt;2,"",AVERAGE(Q7:R7))</f>
        <v/>
      </c>
      <c r="AQ7" s="25">
        <f>IF(COUNT(S7:T7)&lt;2,"",AVERAGE(S7:T7))</f>
        <v/>
      </c>
      <c r="AR7" s="25">
        <f>IF(COUNT(U7:V7)&lt;2,"",AVERAGE(U7:V7))</f>
        <v/>
      </c>
      <c r="AS7" s="25">
        <f>IF(COUNT(W7:Z7)&lt;4,"",AVERAGE(W7:Z7))</f>
        <v/>
      </c>
      <c r="AT7" s="25">
        <f>IF($C7&lt;&gt;1,"",IF(COUNT(AA7:AB7)&lt;2,"",AVERAGE(AA7:AB7)))</f>
        <v/>
      </c>
      <c r="AU7" s="25">
        <f>IF($C7&lt;&gt;1,"",IF(COUNT(AC7:AD7)&lt;2,"",AVERAGE(AC7:AD7)))</f>
        <v/>
      </c>
      <c r="AV7" s="25">
        <f>IF($C7&lt;&gt;1,"",IF(COUNT(AE7:AF7)&lt;2,"",AVERAGE(AE7:AF7)))</f>
        <v/>
      </c>
      <c r="AW7" s="25">
        <f>IF($C7&lt;&gt;1,"",IF(COUNT(AG7:AH7)&lt;2,"",AVERAGE(AG7:AH7)))</f>
        <v/>
      </c>
      <c r="AX7" s="25">
        <f>IF($C7&lt;&gt;1,"",IF(COUNT(AA7:AH7)&lt;8,"",AVERAGE(AA7:AH7)))</f>
        <v/>
      </c>
      <c r="AY7" s="25">
        <f>IF($C7&lt;&gt;1,"",IF(COUNT(AI7:AL7)&lt;4,"",AVERAGE(AI7:AL7)))</f>
        <v/>
      </c>
      <c r="AZ7" s="9">
        <f>IF($C7&lt;&gt;1,"",IF(OR(K7="",M7=""),"",IF(AND(OR(K7=3,K7=4),M7=3),1,0)))</f>
        <v/>
      </c>
      <c r="BA7" s="6" t="n">
        <v>1</v>
      </c>
      <c r="BB7" s="6" t="n"/>
    </row>
    <row r="8">
      <c r="A8" s="6" t="inlineStr">
        <is>
          <t>R007</t>
        </is>
      </c>
      <c r="B8" s="6" t="n">
        <v>8</v>
      </c>
      <c r="C8" s="6" t="n">
        <v>0</v>
      </c>
      <c r="D8" s="6" t="n">
        <v>1</v>
      </c>
      <c r="E8" s="6" t="n">
        <v>1</v>
      </c>
      <c r="F8" s="6" t="n">
        <v>51</v>
      </c>
      <c r="G8" s="6" t="n">
        <v>26</v>
      </c>
      <c r="H8" s="6" t="n">
        <v>2</v>
      </c>
      <c r="I8" s="6" t="n"/>
      <c r="J8" s="6" t="n">
        <v>4</v>
      </c>
      <c r="K8" s="6" t="n">
        <v>2</v>
      </c>
      <c r="L8" s="6" t="n"/>
      <c r="M8" s="6" t="n">
        <v>2</v>
      </c>
      <c r="N8" s="6" t="n">
        <v>1</v>
      </c>
      <c r="O8" s="6" t="n">
        <v>4</v>
      </c>
      <c r="P8" s="6" t="n">
        <v>4</v>
      </c>
      <c r="Q8" s="6" t="n">
        <v>4</v>
      </c>
      <c r="R8" s="6" t="n">
        <v>4</v>
      </c>
      <c r="S8" s="6" t="n">
        <v>3</v>
      </c>
      <c r="T8" s="6" t="n">
        <v>4</v>
      </c>
      <c r="U8" s="6" t="n">
        <v>4</v>
      </c>
      <c r="V8" s="6" t="n">
        <v>4</v>
      </c>
      <c r="W8" s="6" t="n">
        <v>4</v>
      </c>
      <c r="X8" s="6" t="n">
        <v>4</v>
      </c>
      <c r="Y8" s="6" t="n">
        <v>4</v>
      </c>
      <c r="Z8" s="6" t="n">
        <v>4</v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25">
        <f>IF(COUNT(O8:V8)&lt;8,"",AVERAGE(O8:V8))</f>
        <v/>
      </c>
      <c r="AN8" s="25">
        <f>IF(COUNT(O8:O8)&lt;1,"",AVERAGE(O8:O8))</f>
        <v/>
      </c>
      <c r="AO8" s="25">
        <f>IF(COUNT(P8:P8)&lt;1,"",AVERAGE(P8:P8))</f>
        <v/>
      </c>
      <c r="AP8" s="25">
        <f>IF(COUNT(Q8:R8)&lt;2,"",AVERAGE(Q8:R8))</f>
        <v/>
      </c>
      <c r="AQ8" s="25">
        <f>IF(COUNT(S8:T8)&lt;2,"",AVERAGE(S8:T8))</f>
        <v/>
      </c>
      <c r="AR8" s="25">
        <f>IF(COUNT(U8:V8)&lt;2,"",AVERAGE(U8:V8))</f>
        <v/>
      </c>
      <c r="AS8" s="25">
        <f>IF(COUNT(W8:Z8)&lt;4,"",AVERAGE(W8:Z8))</f>
        <v/>
      </c>
      <c r="AT8" s="25">
        <f>IF($C8&lt;&gt;1,"",IF(COUNT(AA8:AB8)&lt;2,"",AVERAGE(AA8:AB8)))</f>
        <v/>
      </c>
      <c r="AU8" s="25">
        <f>IF($C8&lt;&gt;1,"",IF(COUNT(AC8:AD8)&lt;2,"",AVERAGE(AC8:AD8)))</f>
        <v/>
      </c>
      <c r="AV8" s="25">
        <f>IF($C8&lt;&gt;1,"",IF(COUNT(AE8:AF8)&lt;2,"",AVERAGE(AE8:AF8)))</f>
        <v/>
      </c>
      <c r="AW8" s="25">
        <f>IF($C8&lt;&gt;1,"",IF(COUNT(AG8:AH8)&lt;2,"",AVERAGE(AG8:AH8)))</f>
        <v/>
      </c>
      <c r="AX8" s="25">
        <f>IF($C8&lt;&gt;1,"",IF(COUNT(AA8:AH8)&lt;8,"",AVERAGE(AA8:AH8)))</f>
        <v/>
      </c>
      <c r="AY8" s="25">
        <f>IF($C8&lt;&gt;1,"",IF(COUNT(AI8:AL8)&lt;4,"",AVERAGE(AI8:AL8)))</f>
        <v/>
      </c>
      <c r="AZ8" s="9">
        <f>IF($C8&lt;&gt;1,"",IF(OR(K8="",M8=""),"",IF(AND(OR(K8=3,K8=4),M8=3),1,0)))</f>
        <v/>
      </c>
      <c r="BA8" s="6" t="n">
        <v>1</v>
      </c>
      <c r="BB8" s="6" t="n"/>
    </row>
    <row r="9">
      <c r="A9" s="6" t="inlineStr">
        <is>
          <t>R008</t>
        </is>
      </c>
      <c r="B9" s="6" t="n">
        <v>9</v>
      </c>
      <c r="C9" s="6" t="n">
        <v>0</v>
      </c>
      <c r="D9" s="6" t="n">
        <v>1</v>
      </c>
      <c r="E9" s="6" t="n">
        <v>1</v>
      </c>
      <c r="F9" s="6" t="n">
        <v>43</v>
      </c>
      <c r="G9" s="6" t="n">
        <v>1</v>
      </c>
      <c r="H9" s="6" t="n">
        <v>3</v>
      </c>
      <c r="I9" s="6" t="n"/>
      <c r="J9" s="6" t="n">
        <v>2</v>
      </c>
      <c r="K9" s="6" t="n">
        <v>2</v>
      </c>
      <c r="L9" s="6" t="n"/>
      <c r="M9" s="6" t="n">
        <v>2</v>
      </c>
      <c r="N9" s="6" t="n">
        <v>1</v>
      </c>
      <c r="O9" s="6" t="n">
        <v>4</v>
      </c>
      <c r="P9" s="6" t="n">
        <v>3</v>
      </c>
      <c r="Q9" s="6" t="n">
        <v>3</v>
      </c>
      <c r="R9" s="6" t="n">
        <v>4</v>
      </c>
      <c r="S9" s="6" t="n">
        <v>3</v>
      </c>
      <c r="T9" s="6" t="n">
        <v>2</v>
      </c>
      <c r="U9" s="6" t="n">
        <v>3</v>
      </c>
      <c r="V9" s="6" t="n">
        <v>4</v>
      </c>
      <c r="W9" s="6" t="n">
        <v>3</v>
      </c>
      <c r="X9" s="6" t="n">
        <v>4</v>
      </c>
      <c r="Y9" s="6" t="n">
        <v>4</v>
      </c>
      <c r="Z9" s="6" t="n">
        <v>3</v>
      </c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25">
        <f>IF(COUNT(O9:V9)&lt;8,"",AVERAGE(O9:V9))</f>
        <v/>
      </c>
      <c r="AN9" s="25">
        <f>IF(COUNT(O9:O9)&lt;1,"",AVERAGE(O9:O9))</f>
        <v/>
      </c>
      <c r="AO9" s="25">
        <f>IF(COUNT(P9:P9)&lt;1,"",AVERAGE(P9:P9))</f>
        <v/>
      </c>
      <c r="AP9" s="25">
        <f>IF(COUNT(Q9:R9)&lt;2,"",AVERAGE(Q9:R9))</f>
        <v/>
      </c>
      <c r="AQ9" s="25">
        <f>IF(COUNT(S9:T9)&lt;2,"",AVERAGE(S9:T9))</f>
        <v/>
      </c>
      <c r="AR9" s="25">
        <f>IF(COUNT(U9:V9)&lt;2,"",AVERAGE(U9:V9))</f>
        <v/>
      </c>
      <c r="AS9" s="25">
        <f>IF(COUNT(W9:Z9)&lt;4,"",AVERAGE(W9:Z9))</f>
        <v/>
      </c>
      <c r="AT9" s="25">
        <f>IF($C9&lt;&gt;1,"",IF(COUNT(AA9:AB9)&lt;2,"",AVERAGE(AA9:AB9)))</f>
        <v/>
      </c>
      <c r="AU9" s="25">
        <f>IF($C9&lt;&gt;1,"",IF(COUNT(AC9:AD9)&lt;2,"",AVERAGE(AC9:AD9)))</f>
        <v/>
      </c>
      <c r="AV9" s="25">
        <f>IF($C9&lt;&gt;1,"",IF(COUNT(AE9:AF9)&lt;2,"",AVERAGE(AE9:AF9)))</f>
        <v/>
      </c>
      <c r="AW9" s="25">
        <f>IF($C9&lt;&gt;1,"",IF(COUNT(AG9:AH9)&lt;2,"",AVERAGE(AG9:AH9)))</f>
        <v/>
      </c>
      <c r="AX9" s="25">
        <f>IF($C9&lt;&gt;1,"",IF(COUNT(AA9:AH9)&lt;8,"",AVERAGE(AA9:AH9)))</f>
        <v/>
      </c>
      <c r="AY9" s="25">
        <f>IF($C9&lt;&gt;1,"",IF(COUNT(AI9:AL9)&lt;4,"",AVERAGE(AI9:AL9)))</f>
        <v/>
      </c>
      <c r="AZ9" s="9">
        <f>IF($C9&lt;&gt;1,"",IF(OR(K9="",M9=""),"",IF(AND(OR(K9=3,K9=4),M9=3),1,0)))</f>
        <v/>
      </c>
      <c r="BA9" s="6" t="n">
        <v>1</v>
      </c>
      <c r="BB9" s="6" t="n"/>
    </row>
    <row r="10">
      <c r="A10" s="6" t="inlineStr">
        <is>
          <t>R009</t>
        </is>
      </c>
      <c r="B10" s="6" t="n">
        <v>10</v>
      </c>
      <c r="C10" s="6" t="n">
        <v>1</v>
      </c>
      <c r="D10" s="6" t="n">
        <v>2</v>
      </c>
      <c r="E10" s="6" t="n">
        <v>1</v>
      </c>
      <c r="F10" s="6" t="n">
        <v>32</v>
      </c>
      <c r="G10" s="6" t="n">
        <v>2</v>
      </c>
      <c r="H10" s="6" t="n">
        <v>1</v>
      </c>
      <c r="I10" s="6" t="n"/>
      <c r="J10" s="6" t="n">
        <v>3</v>
      </c>
      <c r="K10" s="6" t="n">
        <v>3</v>
      </c>
      <c r="L10" s="6" t="n"/>
      <c r="M10" s="6" t="n">
        <v>2</v>
      </c>
      <c r="N10" s="6" t="n">
        <v>3</v>
      </c>
      <c r="O10" s="6" t="n">
        <v>5</v>
      </c>
      <c r="P10" s="6" t="n">
        <v>5</v>
      </c>
      <c r="Q10" s="6" t="n">
        <v>5</v>
      </c>
      <c r="R10" s="6" t="n">
        <v>5</v>
      </c>
      <c r="S10" s="6" t="n">
        <v>5</v>
      </c>
      <c r="T10" s="6" t="n">
        <v>5</v>
      </c>
      <c r="U10" s="6" t="n">
        <v>5</v>
      </c>
      <c r="V10" s="6" t="n">
        <v>5</v>
      </c>
      <c r="W10" s="6" t="n">
        <v>3</v>
      </c>
      <c r="X10" s="6" t="n">
        <v>3</v>
      </c>
      <c r="Y10" s="6" t="n">
        <v>2</v>
      </c>
      <c r="Z10" s="6" t="n">
        <v>2</v>
      </c>
      <c r="AA10" s="6" t="n">
        <v>5</v>
      </c>
      <c r="AB10" s="6" t="n">
        <v>5</v>
      </c>
      <c r="AC10" s="6" t="n">
        <v>5</v>
      </c>
      <c r="AD10" s="6" t="n">
        <v>5</v>
      </c>
      <c r="AE10" s="6" t="n">
        <v>5</v>
      </c>
      <c r="AF10" s="6" t="n">
        <v>5</v>
      </c>
      <c r="AG10" s="6" t="n">
        <v>5</v>
      </c>
      <c r="AH10" s="6" t="n">
        <v>5</v>
      </c>
      <c r="AI10" s="6" t="n">
        <v>5</v>
      </c>
      <c r="AJ10" s="6" t="n">
        <v>5</v>
      </c>
      <c r="AK10" s="6" t="n">
        <v>5</v>
      </c>
      <c r="AL10" s="6" t="n">
        <v>5</v>
      </c>
      <c r="AM10" s="25">
        <f>IF(COUNT(O10:V10)&lt;8,"",AVERAGE(O10:V10))</f>
        <v/>
      </c>
      <c r="AN10" s="25">
        <f>IF(COUNT(O10:O10)&lt;1,"",AVERAGE(O10:O10))</f>
        <v/>
      </c>
      <c r="AO10" s="25">
        <f>IF(COUNT(P10:P10)&lt;1,"",AVERAGE(P10:P10))</f>
        <v/>
      </c>
      <c r="AP10" s="25">
        <f>IF(COUNT(Q10:R10)&lt;2,"",AVERAGE(Q10:R10))</f>
        <v/>
      </c>
      <c r="AQ10" s="25">
        <f>IF(COUNT(S10:T10)&lt;2,"",AVERAGE(S10:T10))</f>
        <v/>
      </c>
      <c r="AR10" s="25">
        <f>IF(COUNT(U10:V10)&lt;2,"",AVERAGE(U10:V10))</f>
        <v/>
      </c>
      <c r="AS10" s="25">
        <f>IF(COUNT(W10:Z10)&lt;4,"",AVERAGE(W10:Z10))</f>
        <v/>
      </c>
      <c r="AT10" s="25">
        <f>IF($C10&lt;&gt;1,"",IF(COUNT(AA10:AB10)&lt;2,"",AVERAGE(AA10:AB10)))</f>
        <v/>
      </c>
      <c r="AU10" s="25">
        <f>IF($C10&lt;&gt;1,"",IF(COUNT(AC10:AD10)&lt;2,"",AVERAGE(AC10:AD10)))</f>
        <v/>
      </c>
      <c r="AV10" s="25">
        <f>IF($C10&lt;&gt;1,"",IF(COUNT(AE10:AF10)&lt;2,"",AVERAGE(AE10:AF10)))</f>
        <v/>
      </c>
      <c r="AW10" s="25">
        <f>IF($C10&lt;&gt;1,"",IF(COUNT(AG10:AH10)&lt;2,"",AVERAGE(AG10:AH10)))</f>
        <v/>
      </c>
      <c r="AX10" s="25">
        <f>IF($C10&lt;&gt;1,"",IF(COUNT(AA10:AH10)&lt;8,"",AVERAGE(AA10:AH10)))</f>
        <v/>
      </c>
      <c r="AY10" s="25">
        <f>IF($C10&lt;&gt;1,"",IF(COUNT(AI10:AL10)&lt;4,"",AVERAGE(AI10:AL10)))</f>
        <v/>
      </c>
      <c r="AZ10" s="9">
        <f>IF($C10&lt;&gt;1,"",IF(OR(K10="",M10=""),"",IF(AND(OR(K10=3,K10=4),M10=3),1,0)))</f>
        <v/>
      </c>
      <c r="BA10" s="6" t="n">
        <v>1</v>
      </c>
      <c r="BB10" s="6" t="n"/>
    </row>
    <row r="11">
      <c r="A11" s="6" t="inlineStr">
        <is>
          <t>R010</t>
        </is>
      </c>
      <c r="B11" s="6" t="n">
        <v>11</v>
      </c>
      <c r="C11" s="6" t="n">
        <v>1</v>
      </c>
      <c r="D11" s="6" t="n">
        <v>2</v>
      </c>
      <c r="E11" s="6" t="n">
        <v>1</v>
      </c>
      <c r="F11" s="6" t="n">
        <v>32</v>
      </c>
      <c r="G11" s="6" t="n">
        <v>5</v>
      </c>
      <c r="H11" s="6" t="n">
        <v>1</v>
      </c>
      <c r="I11" s="6" t="n"/>
      <c r="J11" s="6" t="n">
        <v>2</v>
      </c>
      <c r="K11" s="6" t="n">
        <v>4</v>
      </c>
      <c r="L11" s="6" t="n"/>
      <c r="M11" s="6" t="n">
        <v>3</v>
      </c>
      <c r="N11" s="6" t="n">
        <v>2</v>
      </c>
      <c r="O11" s="6" t="n">
        <v>2</v>
      </c>
      <c r="P11" s="6" t="n">
        <v>3</v>
      </c>
      <c r="Q11" s="6" t="n">
        <v>3</v>
      </c>
      <c r="R11" s="6" t="n">
        <v>3</v>
      </c>
      <c r="S11" s="6" t="n">
        <v>3</v>
      </c>
      <c r="T11" s="6" t="n">
        <v>3</v>
      </c>
      <c r="U11" s="6" t="n">
        <v>4</v>
      </c>
      <c r="V11" s="6" t="n">
        <v>3</v>
      </c>
      <c r="W11" s="6" t="n">
        <v>4</v>
      </c>
      <c r="X11" s="6" t="n">
        <v>4</v>
      </c>
      <c r="Y11" s="6" t="n">
        <v>4</v>
      </c>
      <c r="Z11" s="6" t="n">
        <v>4</v>
      </c>
      <c r="AA11" s="6" t="n">
        <v>4</v>
      </c>
      <c r="AB11" s="6" t="n">
        <v>3</v>
      </c>
      <c r="AC11" s="6" t="n">
        <v>3</v>
      </c>
      <c r="AD11" s="6" t="n">
        <v>3</v>
      </c>
      <c r="AE11" s="6" t="n">
        <v>2</v>
      </c>
      <c r="AF11" s="6" t="n">
        <v>2</v>
      </c>
      <c r="AG11" s="6" t="n">
        <v>4</v>
      </c>
      <c r="AH11" s="6" t="n">
        <v>3</v>
      </c>
      <c r="AI11" s="6" t="n">
        <v>3</v>
      </c>
      <c r="AJ11" s="6" t="n">
        <v>3</v>
      </c>
      <c r="AK11" s="6" t="n">
        <v>3</v>
      </c>
      <c r="AL11" s="6" t="n">
        <v>3</v>
      </c>
      <c r="AM11" s="25">
        <f>IF(COUNT(O11:V11)&lt;8,"",AVERAGE(O11:V11))</f>
        <v/>
      </c>
      <c r="AN11" s="25">
        <f>IF(COUNT(O11:O11)&lt;1,"",AVERAGE(O11:O11))</f>
        <v/>
      </c>
      <c r="AO11" s="25">
        <f>IF(COUNT(P11:P11)&lt;1,"",AVERAGE(P11:P11))</f>
        <v/>
      </c>
      <c r="AP11" s="25">
        <f>IF(COUNT(Q11:R11)&lt;2,"",AVERAGE(Q11:R11))</f>
        <v/>
      </c>
      <c r="AQ11" s="25">
        <f>IF(COUNT(S11:T11)&lt;2,"",AVERAGE(S11:T11))</f>
        <v/>
      </c>
      <c r="AR11" s="25">
        <f>IF(COUNT(U11:V11)&lt;2,"",AVERAGE(U11:V11))</f>
        <v/>
      </c>
      <c r="AS11" s="25">
        <f>IF(COUNT(W11:Z11)&lt;4,"",AVERAGE(W11:Z11))</f>
        <v/>
      </c>
      <c r="AT11" s="25">
        <f>IF($C11&lt;&gt;1,"",IF(COUNT(AA11:AB11)&lt;2,"",AVERAGE(AA11:AB11)))</f>
        <v/>
      </c>
      <c r="AU11" s="25">
        <f>IF($C11&lt;&gt;1,"",IF(COUNT(AC11:AD11)&lt;2,"",AVERAGE(AC11:AD11)))</f>
        <v/>
      </c>
      <c r="AV11" s="25">
        <f>IF($C11&lt;&gt;1,"",IF(COUNT(AE11:AF11)&lt;2,"",AVERAGE(AE11:AF11)))</f>
        <v/>
      </c>
      <c r="AW11" s="25">
        <f>IF($C11&lt;&gt;1,"",IF(COUNT(AG11:AH11)&lt;2,"",AVERAGE(AG11:AH11)))</f>
        <v/>
      </c>
      <c r="AX11" s="25">
        <f>IF($C11&lt;&gt;1,"",IF(COUNT(AA11:AH11)&lt;8,"",AVERAGE(AA11:AH11)))</f>
        <v/>
      </c>
      <c r="AY11" s="25">
        <f>IF($C11&lt;&gt;1,"",IF(COUNT(AI11:AL11)&lt;4,"",AVERAGE(AI11:AL11)))</f>
        <v/>
      </c>
      <c r="AZ11" s="9">
        <f>IF($C11&lt;&gt;1,"",IF(OR(K11="",M11=""),"",IF(AND(OR(K11=3,K11=4),M11=3),1,0)))</f>
        <v/>
      </c>
      <c r="BA11" s="6" t="n">
        <v>1</v>
      </c>
      <c r="BB11" s="6" t="n"/>
    </row>
    <row r="12">
      <c r="A12" s="6" t="inlineStr">
        <is>
          <t>R011</t>
        </is>
      </c>
      <c r="B12" s="6" t="n">
        <v>12</v>
      </c>
      <c r="C12" s="6" t="n">
        <v>1</v>
      </c>
      <c r="D12" s="6" t="n">
        <v>2</v>
      </c>
      <c r="E12" s="6" t="n">
        <v>1</v>
      </c>
      <c r="F12" s="6" t="n">
        <v>49</v>
      </c>
      <c r="G12" s="6" t="n">
        <v>1</v>
      </c>
      <c r="H12" s="6" t="n">
        <v>1</v>
      </c>
      <c r="I12" s="6" t="n"/>
      <c r="J12" s="6" t="n">
        <v>3</v>
      </c>
      <c r="K12" s="6" t="n">
        <v>2</v>
      </c>
      <c r="L12" s="6" t="n"/>
      <c r="M12" s="6" t="n">
        <v>2</v>
      </c>
      <c r="N12" s="6" t="n">
        <v>2</v>
      </c>
      <c r="O12" s="6" t="n">
        <v>2</v>
      </c>
      <c r="P12" s="6" t="n">
        <v>3</v>
      </c>
      <c r="Q12" s="6" t="n">
        <v>3</v>
      </c>
      <c r="R12" s="6" t="n">
        <v>2</v>
      </c>
      <c r="S12" s="6" t="n">
        <v>5</v>
      </c>
      <c r="T12" s="6" t="n">
        <v>2</v>
      </c>
      <c r="U12" s="6" t="n">
        <v>3</v>
      </c>
      <c r="V12" s="6" t="n">
        <v>3</v>
      </c>
      <c r="W12" s="6" t="n">
        <v>2</v>
      </c>
      <c r="X12" s="6" t="n">
        <v>2</v>
      </c>
      <c r="Y12" s="6" t="n">
        <v>2</v>
      </c>
      <c r="Z12" s="6" t="n">
        <v>2</v>
      </c>
      <c r="AA12" s="6" t="n">
        <v>4</v>
      </c>
      <c r="AB12" s="6" t="n">
        <v>4</v>
      </c>
      <c r="AC12" s="6" t="n">
        <v>4</v>
      </c>
      <c r="AD12" s="6" t="n">
        <v>4</v>
      </c>
      <c r="AE12" s="6" t="n">
        <v>3</v>
      </c>
      <c r="AF12" s="6" t="n">
        <v>3</v>
      </c>
      <c r="AG12" s="6" t="n">
        <v>4</v>
      </c>
      <c r="AH12" s="6" t="n">
        <v>4</v>
      </c>
      <c r="AI12" s="6" t="n">
        <v>3</v>
      </c>
      <c r="AJ12" s="6" t="n">
        <v>3</v>
      </c>
      <c r="AK12" s="6" t="n">
        <v>2</v>
      </c>
      <c r="AL12" s="6" t="n">
        <v>2</v>
      </c>
      <c r="AM12" s="25">
        <f>IF(COUNT(O12:V12)&lt;8,"",AVERAGE(O12:V12))</f>
        <v/>
      </c>
      <c r="AN12" s="25">
        <f>IF(COUNT(O12:O12)&lt;1,"",AVERAGE(O12:O12))</f>
        <v/>
      </c>
      <c r="AO12" s="25">
        <f>IF(COUNT(P12:P12)&lt;1,"",AVERAGE(P12:P12))</f>
        <v/>
      </c>
      <c r="AP12" s="25">
        <f>IF(COUNT(Q12:R12)&lt;2,"",AVERAGE(Q12:R12))</f>
        <v/>
      </c>
      <c r="AQ12" s="25">
        <f>IF(COUNT(S12:T12)&lt;2,"",AVERAGE(S12:T12))</f>
        <v/>
      </c>
      <c r="AR12" s="25">
        <f>IF(COUNT(U12:V12)&lt;2,"",AVERAGE(U12:V12))</f>
        <v/>
      </c>
      <c r="AS12" s="25">
        <f>IF(COUNT(W12:Z12)&lt;4,"",AVERAGE(W12:Z12))</f>
        <v/>
      </c>
      <c r="AT12" s="25">
        <f>IF($C12&lt;&gt;1,"",IF(COUNT(AA12:AB12)&lt;2,"",AVERAGE(AA12:AB12)))</f>
        <v/>
      </c>
      <c r="AU12" s="25">
        <f>IF($C12&lt;&gt;1,"",IF(COUNT(AC12:AD12)&lt;2,"",AVERAGE(AC12:AD12)))</f>
        <v/>
      </c>
      <c r="AV12" s="25">
        <f>IF($C12&lt;&gt;1,"",IF(COUNT(AE12:AF12)&lt;2,"",AVERAGE(AE12:AF12)))</f>
        <v/>
      </c>
      <c r="AW12" s="25">
        <f>IF($C12&lt;&gt;1,"",IF(COUNT(AG12:AH12)&lt;2,"",AVERAGE(AG12:AH12)))</f>
        <v/>
      </c>
      <c r="AX12" s="25">
        <f>IF($C12&lt;&gt;1,"",IF(COUNT(AA12:AH12)&lt;8,"",AVERAGE(AA12:AH12)))</f>
        <v/>
      </c>
      <c r="AY12" s="25">
        <f>IF($C12&lt;&gt;1,"",IF(COUNT(AI12:AL12)&lt;4,"",AVERAGE(AI12:AL12)))</f>
        <v/>
      </c>
      <c r="AZ12" s="9">
        <f>IF($C12&lt;&gt;1,"",IF(OR(K12="",M12=""),"",IF(AND(OR(K12=3,K12=4),M12=3),1,0)))</f>
        <v/>
      </c>
      <c r="BA12" s="6" t="n">
        <v>1</v>
      </c>
      <c r="BB12" s="6" t="n"/>
    </row>
    <row r="13">
      <c r="A13" s="6" t="inlineStr">
        <is>
          <t>R012</t>
        </is>
      </c>
      <c r="B13" s="6" t="n">
        <v>13</v>
      </c>
      <c r="C13" s="6" t="n">
        <v>1</v>
      </c>
      <c r="D13" s="6" t="n">
        <v>2</v>
      </c>
      <c r="E13" s="6" t="n">
        <v>1</v>
      </c>
      <c r="F13" s="6" t="n">
        <v>30</v>
      </c>
      <c r="G13" s="6" t="n">
        <v>3</v>
      </c>
      <c r="H13" s="6" t="n">
        <v>1</v>
      </c>
      <c r="I13" s="6" t="n"/>
      <c r="J13" s="6" t="n">
        <v>2</v>
      </c>
      <c r="K13" s="6" t="n">
        <v>4</v>
      </c>
      <c r="L13" s="6" t="n"/>
      <c r="M13" s="6" t="n">
        <v>2</v>
      </c>
      <c r="N13" s="6" t="n">
        <v>2</v>
      </c>
      <c r="O13" s="6" t="n">
        <v>4</v>
      </c>
      <c r="P13" s="6" t="n">
        <v>5</v>
      </c>
      <c r="Q13" s="6" t="n">
        <v>3</v>
      </c>
      <c r="R13" s="6" t="n">
        <v>4</v>
      </c>
      <c r="S13" s="6" t="n">
        <v>4</v>
      </c>
      <c r="T13" s="6" t="n">
        <v>3</v>
      </c>
      <c r="U13" s="6" t="n">
        <v>4</v>
      </c>
      <c r="V13" s="6" t="n">
        <v>4</v>
      </c>
      <c r="W13" s="6" t="n">
        <v>2</v>
      </c>
      <c r="X13" s="6" t="n">
        <v>2</v>
      </c>
      <c r="Y13" s="6" t="n">
        <v>3</v>
      </c>
      <c r="Z13" s="6" t="n">
        <v>5</v>
      </c>
      <c r="AA13" s="6" t="n">
        <v>5</v>
      </c>
      <c r="AB13" s="6" t="n">
        <v>4</v>
      </c>
      <c r="AC13" s="6" t="n">
        <v>4</v>
      </c>
      <c r="AD13" s="6" t="n">
        <v>3</v>
      </c>
      <c r="AE13" s="6" t="n">
        <v>4</v>
      </c>
      <c r="AF13" s="6" t="n">
        <v>4</v>
      </c>
      <c r="AG13" s="6" t="n">
        <v>5</v>
      </c>
      <c r="AH13" s="6" t="n">
        <v>4</v>
      </c>
      <c r="AI13" s="6" t="n">
        <v>3</v>
      </c>
      <c r="AJ13" s="6" t="n">
        <v>2</v>
      </c>
      <c r="AK13" s="6" t="n">
        <v>2</v>
      </c>
      <c r="AL13" s="6" t="n">
        <v>2</v>
      </c>
      <c r="AM13" s="25">
        <f>IF(COUNT(O13:V13)&lt;8,"",AVERAGE(O13:V13))</f>
        <v/>
      </c>
      <c r="AN13" s="25">
        <f>IF(COUNT(O13:O13)&lt;1,"",AVERAGE(O13:O13))</f>
        <v/>
      </c>
      <c r="AO13" s="25">
        <f>IF(COUNT(P13:P13)&lt;1,"",AVERAGE(P13:P13))</f>
        <v/>
      </c>
      <c r="AP13" s="25">
        <f>IF(COUNT(Q13:R13)&lt;2,"",AVERAGE(Q13:R13))</f>
        <v/>
      </c>
      <c r="AQ13" s="25">
        <f>IF(COUNT(S13:T13)&lt;2,"",AVERAGE(S13:T13))</f>
        <v/>
      </c>
      <c r="AR13" s="25">
        <f>IF(COUNT(U13:V13)&lt;2,"",AVERAGE(U13:V13))</f>
        <v/>
      </c>
      <c r="AS13" s="25">
        <f>IF(COUNT(W13:Z13)&lt;4,"",AVERAGE(W13:Z13))</f>
        <v/>
      </c>
      <c r="AT13" s="25">
        <f>IF($C13&lt;&gt;1,"",IF(COUNT(AA13:AB13)&lt;2,"",AVERAGE(AA13:AB13)))</f>
        <v/>
      </c>
      <c r="AU13" s="25">
        <f>IF($C13&lt;&gt;1,"",IF(COUNT(AC13:AD13)&lt;2,"",AVERAGE(AC13:AD13)))</f>
        <v/>
      </c>
      <c r="AV13" s="25">
        <f>IF($C13&lt;&gt;1,"",IF(COUNT(AE13:AF13)&lt;2,"",AVERAGE(AE13:AF13)))</f>
        <v/>
      </c>
      <c r="AW13" s="25">
        <f>IF($C13&lt;&gt;1,"",IF(COUNT(AG13:AH13)&lt;2,"",AVERAGE(AG13:AH13)))</f>
        <v/>
      </c>
      <c r="AX13" s="25">
        <f>IF($C13&lt;&gt;1,"",IF(COUNT(AA13:AH13)&lt;8,"",AVERAGE(AA13:AH13)))</f>
        <v/>
      </c>
      <c r="AY13" s="25">
        <f>IF($C13&lt;&gt;1,"",IF(COUNT(AI13:AL13)&lt;4,"",AVERAGE(AI13:AL13)))</f>
        <v/>
      </c>
      <c r="AZ13" s="9">
        <f>IF($C13&lt;&gt;1,"",IF(OR(K13="",M13=""),"",IF(AND(OR(K13=3,K13=4),M13=3),1,0)))</f>
        <v/>
      </c>
      <c r="BA13" s="6" t="n">
        <v>1</v>
      </c>
      <c r="BB13" s="6" t="n"/>
    </row>
    <row r="14">
      <c r="A14" s="6" t="inlineStr">
        <is>
          <t>R013</t>
        </is>
      </c>
      <c r="B14" s="6" t="n">
        <v>14</v>
      </c>
      <c r="C14" s="6" t="n">
        <v>1</v>
      </c>
      <c r="D14" s="6" t="n">
        <v>1</v>
      </c>
      <c r="E14" s="6" t="n">
        <v>1</v>
      </c>
      <c r="F14" s="6" t="n">
        <v>65</v>
      </c>
      <c r="G14" s="6" t="n">
        <v>12</v>
      </c>
      <c r="H14" s="6" t="n">
        <v>2</v>
      </c>
      <c r="I14" s="6" t="n"/>
      <c r="J14" s="6" t="n">
        <v>4</v>
      </c>
      <c r="K14" s="6" t="n">
        <v>2</v>
      </c>
      <c r="L14" s="6" t="n"/>
      <c r="M14" s="6" t="n">
        <v>4</v>
      </c>
      <c r="N14" s="6" t="n">
        <v>2</v>
      </c>
      <c r="O14" s="6" t="n">
        <v>3</v>
      </c>
      <c r="P14" s="6" t="n">
        <v>5</v>
      </c>
      <c r="Q14" s="6" t="n">
        <v>5</v>
      </c>
      <c r="R14" s="6" t="n">
        <v>5</v>
      </c>
      <c r="S14" s="6" t="n">
        <v>5</v>
      </c>
      <c r="T14" s="6" t="n">
        <v>5</v>
      </c>
      <c r="U14" s="6" t="n">
        <v>5</v>
      </c>
      <c r="V14" s="6" t="n">
        <v>5</v>
      </c>
      <c r="W14" s="6" t="n">
        <v>5</v>
      </c>
      <c r="X14" s="6" t="n">
        <v>5</v>
      </c>
      <c r="Y14" s="6" t="n">
        <v>5</v>
      </c>
      <c r="Z14" s="6" t="n">
        <v>5</v>
      </c>
      <c r="AA14" s="6" t="n">
        <v>5</v>
      </c>
      <c r="AB14" s="6" t="n">
        <v>5</v>
      </c>
      <c r="AC14" s="6" t="n">
        <v>5</v>
      </c>
      <c r="AD14" s="6" t="n">
        <v>5</v>
      </c>
      <c r="AE14" s="6" t="n">
        <v>5</v>
      </c>
      <c r="AF14" s="6" t="n">
        <v>5</v>
      </c>
      <c r="AG14" s="6" t="n">
        <v>5</v>
      </c>
      <c r="AH14" s="6" t="n">
        <v>5</v>
      </c>
      <c r="AI14" s="6" t="n">
        <v>5</v>
      </c>
      <c r="AJ14" s="6" t="n">
        <v>5</v>
      </c>
      <c r="AK14" s="6" t="n">
        <v>5</v>
      </c>
      <c r="AL14" s="6" t="n">
        <v>5</v>
      </c>
      <c r="AM14" s="25">
        <f>IF(COUNT(O14:V14)&lt;8,"",AVERAGE(O14:V14))</f>
        <v/>
      </c>
      <c r="AN14" s="25">
        <f>IF(COUNT(O14:O14)&lt;1,"",AVERAGE(O14:O14))</f>
        <v/>
      </c>
      <c r="AO14" s="25">
        <f>IF(COUNT(P14:P14)&lt;1,"",AVERAGE(P14:P14))</f>
        <v/>
      </c>
      <c r="AP14" s="25">
        <f>IF(COUNT(Q14:R14)&lt;2,"",AVERAGE(Q14:R14))</f>
        <v/>
      </c>
      <c r="AQ14" s="25">
        <f>IF(COUNT(S14:T14)&lt;2,"",AVERAGE(S14:T14))</f>
        <v/>
      </c>
      <c r="AR14" s="25">
        <f>IF(COUNT(U14:V14)&lt;2,"",AVERAGE(U14:V14))</f>
        <v/>
      </c>
      <c r="AS14" s="25">
        <f>IF(COUNT(W14:Z14)&lt;4,"",AVERAGE(W14:Z14))</f>
        <v/>
      </c>
      <c r="AT14" s="25">
        <f>IF($C14&lt;&gt;1,"",IF(COUNT(AA14:AB14)&lt;2,"",AVERAGE(AA14:AB14)))</f>
        <v/>
      </c>
      <c r="AU14" s="25">
        <f>IF($C14&lt;&gt;1,"",IF(COUNT(AC14:AD14)&lt;2,"",AVERAGE(AC14:AD14)))</f>
        <v/>
      </c>
      <c r="AV14" s="25">
        <f>IF($C14&lt;&gt;1,"",IF(COUNT(AE14:AF14)&lt;2,"",AVERAGE(AE14:AF14)))</f>
        <v/>
      </c>
      <c r="AW14" s="25">
        <f>IF($C14&lt;&gt;1,"",IF(COUNT(AG14:AH14)&lt;2,"",AVERAGE(AG14:AH14)))</f>
        <v/>
      </c>
      <c r="AX14" s="25">
        <f>IF($C14&lt;&gt;1,"",IF(COUNT(AA14:AH14)&lt;8,"",AVERAGE(AA14:AH14)))</f>
        <v/>
      </c>
      <c r="AY14" s="25">
        <f>IF($C14&lt;&gt;1,"",IF(COUNT(AI14:AL14)&lt;4,"",AVERAGE(AI14:AL14)))</f>
        <v/>
      </c>
      <c r="AZ14" s="9">
        <f>IF($C14&lt;&gt;1,"",IF(OR(K14="",M14=""),"",IF(AND(OR(K14=3,K14=4),M14=3),1,0)))</f>
        <v/>
      </c>
      <c r="BA14" s="6" t="n">
        <v>1</v>
      </c>
      <c r="BB14" s="6" t="n"/>
    </row>
    <row r="15">
      <c r="A15" s="6" t="inlineStr">
        <is>
          <t>R014</t>
        </is>
      </c>
      <c r="B15" s="6" t="n">
        <v>15</v>
      </c>
      <c r="C15" s="6" t="n">
        <v>1</v>
      </c>
      <c r="D15" s="6" t="n">
        <v>1</v>
      </c>
      <c r="E15" s="6" t="n">
        <v>1</v>
      </c>
      <c r="F15" s="6" t="n">
        <v>53</v>
      </c>
      <c r="G15" s="6" t="n">
        <v>28</v>
      </c>
      <c r="H15" s="6" t="n">
        <v>3</v>
      </c>
      <c r="I15" s="6" t="n"/>
      <c r="J15" s="6" t="n">
        <v>3</v>
      </c>
      <c r="K15" s="6" t="n">
        <v>3</v>
      </c>
      <c r="L15" s="6" t="n"/>
      <c r="M15" s="6" t="n">
        <v>1</v>
      </c>
      <c r="N15" s="6" t="n">
        <v>1</v>
      </c>
      <c r="O15" s="6" t="n">
        <v>5</v>
      </c>
      <c r="P15" s="6" t="n">
        <v>5</v>
      </c>
      <c r="Q15" s="6" t="n">
        <v>5</v>
      </c>
      <c r="R15" s="6" t="n">
        <v>4</v>
      </c>
      <c r="S15" s="6" t="n">
        <v>4</v>
      </c>
      <c r="T15" s="6" t="n">
        <v>4</v>
      </c>
      <c r="U15" s="6" t="n">
        <v>5</v>
      </c>
      <c r="V15" s="6" t="n">
        <v>4</v>
      </c>
      <c r="W15" s="6" t="n">
        <v>4</v>
      </c>
      <c r="X15" s="6" t="n">
        <v>4</v>
      </c>
      <c r="Y15" s="6" t="n">
        <v>4</v>
      </c>
      <c r="Z15" s="6" t="n">
        <v>4</v>
      </c>
      <c r="AA15" s="6" t="n">
        <v>4</v>
      </c>
      <c r="AB15" s="6" t="n">
        <v>2</v>
      </c>
      <c r="AC15" s="6" t="n">
        <v>4</v>
      </c>
      <c r="AD15" s="6" t="n">
        <v>2</v>
      </c>
      <c r="AE15" s="6" t="n">
        <v>3</v>
      </c>
      <c r="AF15" s="6" t="n">
        <v>3</v>
      </c>
      <c r="AG15" s="6" t="n">
        <v>4</v>
      </c>
      <c r="AH15" s="6" t="n">
        <v>3</v>
      </c>
      <c r="AI15" s="6" t="n">
        <v>4</v>
      </c>
      <c r="AJ15" s="6" t="n">
        <v>4</v>
      </c>
      <c r="AK15" s="6" t="n">
        <v>2</v>
      </c>
      <c r="AL15" s="6" t="n">
        <v>4</v>
      </c>
      <c r="AM15" s="25">
        <f>IF(COUNT(O15:V15)&lt;8,"",AVERAGE(O15:V15))</f>
        <v/>
      </c>
      <c r="AN15" s="25">
        <f>IF(COUNT(O15:O15)&lt;1,"",AVERAGE(O15:O15))</f>
        <v/>
      </c>
      <c r="AO15" s="25">
        <f>IF(COUNT(P15:P15)&lt;1,"",AVERAGE(P15:P15))</f>
        <v/>
      </c>
      <c r="AP15" s="25">
        <f>IF(COUNT(Q15:R15)&lt;2,"",AVERAGE(Q15:R15))</f>
        <v/>
      </c>
      <c r="AQ15" s="25">
        <f>IF(COUNT(S15:T15)&lt;2,"",AVERAGE(S15:T15))</f>
        <v/>
      </c>
      <c r="AR15" s="25">
        <f>IF(COUNT(U15:V15)&lt;2,"",AVERAGE(U15:V15))</f>
        <v/>
      </c>
      <c r="AS15" s="25">
        <f>IF(COUNT(W15:Z15)&lt;4,"",AVERAGE(W15:Z15))</f>
        <v/>
      </c>
      <c r="AT15" s="25">
        <f>IF($C15&lt;&gt;1,"",IF(COUNT(AA15:AB15)&lt;2,"",AVERAGE(AA15:AB15)))</f>
        <v/>
      </c>
      <c r="AU15" s="25">
        <f>IF($C15&lt;&gt;1,"",IF(COUNT(AC15:AD15)&lt;2,"",AVERAGE(AC15:AD15)))</f>
        <v/>
      </c>
      <c r="AV15" s="25">
        <f>IF($C15&lt;&gt;1,"",IF(COUNT(AE15:AF15)&lt;2,"",AVERAGE(AE15:AF15)))</f>
        <v/>
      </c>
      <c r="AW15" s="25">
        <f>IF($C15&lt;&gt;1,"",IF(COUNT(AG15:AH15)&lt;2,"",AVERAGE(AG15:AH15)))</f>
        <v/>
      </c>
      <c r="AX15" s="25">
        <f>IF($C15&lt;&gt;1,"",IF(COUNT(AA15:AH15)&lt;8,"",AVERAGE(AA15:AH15)))</f>
        <v/>
      </c>
      <c r="AY15" s="25">
        <f>IF($C15&lt;&gt;1,"",IF(COUNT(AI15:AL15)&lt;4,"",AVERAGE(AI15:AL15)))</f>
        <v/>
      </c>
      <c r="AZ15" s="9">
        <f>IF($C15&lt;&gt;1,"",IF(OR(K15="",M15=""),"",IF(AND(OR(K15=3,K15=4),M15=3),1,0)))</f>
        <v/>
      </c>
      <c r="BA15" s="6" t="n">
        <v>1</v>
      </c>
      <c r="BB15" s="6" t="n"/>
    </row>
    <row r="16">
      <c r="A16" s="6" t="inlineStr">
        <is>
          <t>R015</t>
        </is>
      </c>
      <c r="B16" s="6" t="n">
        <v>16</v>
      </c>
      <c r="C16" s="6" t="n">
        <v>1</v>
      </c>
      <c r="D16" s="6" t="n">
        <v>1</v>
      </c>
      <c r="E16" s="6" t="n">
        <v>1</v>
      </c>
      <c r="F16" s="6" t="n">
        <v>53</v>
      </c>
      <c r="G16" s="6" t="n">
        <v>23</v>
      </c>
      <c r="H16" s="6" t="n">
        <v>3</v>
      </c>
      <c r="I16" s="6" t="n"/>
      <c r="J16" s="6" t="n">
        <v>3</v>
      </c>
      <c r="K16" s="6" t="n">
        <v>2</v>
      </c>
      <c r="L16" s="6" t="n"/>
      <c r="M16" s="6" t="n">
        <v>2</v>
      </c>
      <c r="N16" s="6" t="n">
        <v>2</v>
      </c>
      <c r="O16" s="6" t="n">
        <v>4</v>
      </c>
      <c r="P16" s="6" t="n">
        <v>4</v>
      </c>
      <c r="Q16" s="6" t="n">
        <v>4</v>
      </c>
      <c r="R16" s="6" t="n">
        <v>3</v>
      </c>
      <c r="S16" s="6" t="n">
        <v>3</v>
      </c>
      <c r="T16" s="6" t="n">
        <v>4</v>
      </c>
      <c r="U16" s="6" t="n">
        <v>4</v>
      </c>
      <c r="V16" s="6" t="n">
        <v>4</v>
      </c>
      <c r="W16" s="6" t="n">
        <v>3</v>
      </c>
      <c r="X16" s="6" t="n">
        <v>3</v>
      </c>
      <c r="Y16" s="6" t="n">
        <v>5</v>
      </c>
      <c r="Z16" s="6" t="n">
        <v>4</v>
      </c>
      <c r="AA16" s="6" t="n">
        <v>3</v>
      </c>
      <c r="AB16" s="6" t="n">
        <v>3</v>
      </c>
      <c r="AC16" s="6" t="n">
        <v>3</v>
      </c>
      <c r="AD16" s="6" t="n">
        <v>3</v>
      </c>
      <c r="AE16" s="6" t="n">
        <v>3</v>
      </c>
      <c r="AF16" s="6" t="n">
        <v>3</v>
      </c>
      <c r="AG16" s="6" t="n">
        <v>4</v>
      </c>
      <c r="AH16" s="6" t="n">
        <v>4</v>
      </c>
      <c r="AI16" s="6" t="n">
        <v>3</v>
      </c>
      <c r="AJ16" s="6" t="n">
        <v>3</v>
      </c>
      <c r="AK16" s="6" t="n">
        <v>4</v>
      </c>
      <c r="AL16" s="6" t="n">
        <v>4</v>
      </c>
      <c r="AM16" s="25">
        <f>IF(COUNT(O16:V16)&lt;8,"",AVERAGE(O16:V16))</f>
        <v/>
      </c>
      <c r="AN16" s="25">
        <f>IF(COUNT(O16:O16)&lt;1,"",AVERAGE(O16:O16))</f>
        <v/>
      </c>
      <c r="AO16" s="25">
        <f>IF(COUNT(P16:P16)&lt;1,"",AVERAGE(P16:P16))</f>
        <v/>
      </c>
      <c r="AP16" s="25">
        <f>IF(COUNT(Q16:R16)&lt;2,"",AVERAGE(Q16:R16))</f>
        <v/>
      </c>
      <c r="AQ16" s="25">
        <f>IF(COUNT(S16:T16)&lt;2,"",AVERAGE(S16:T16))</f>
        <v/>
      </c>
      <c r="AR16" s="25">
        <f>IF(COUNT(U16:V16)&lt;2,"",AVERAGE(U16:V16))</f>
        <v/>
      </c>
      <c r="AS16" s="25">
        <f>IF(COUNT(W16:Z16)&lt;4,"",AVERAGE(W16:Z16))</f>
        <v/>
      </c>
      <c r="AT16" s="25">
        <f>IF($C16&lt;&gt;1,"",IF(COUNT(AA16:AB16)&lt;2,"",AVERAGE(AA16:AB16)))</f>
        <v/>
      </c>
      <c r="AU16" s="25">
        <f>IF($C16&lt;&gt;1,"",IF(COUNT(AC16:AD16)&lt;2,"",AVERAGE(AC16:AD16)))</f>
        <v/>
      </c>
      <c r="AV16" s="25">
        <f>IF($C16&lt;&gt;1,"",IF(COUNT(AE16:AF16)&lt;2,"",AVERAGE(AE16:AF16)))</f>
        <v/>
      </c>
      <c r="AW16" s="25">
        <f>IF($C16&lt;&gt;1,"",IF(COUNT(AG16:AH16)&lt;2,"",AVERAGE(AG16:AH16)))</f>
        <v/>
      </c>
      <c r="AX16" s="25">
        <f>IF($C16&lt;&gt;1,"",IF(COUNT(AA16:AH16)&lt;8,"",AVERAGE(AA16:AH16)))</f>
        <v/>
      </c>
      <c r="AY16" s="25">
        <f>IF($C16&lt;&gt;1,"",IF(COUNT(AI16:AL16)&lt;4,"",AVERAGE(AI16:AL16)))</f>
        <v/>
      </c>
      <c r="AZ16" s="9">
        <f>IF($C16&lt;&gt;1,"",IF(OR(K16="",M16=""),"",IF(AND(OR(K16=3,K16=4),M16=3),1,0)))</f>
        <v/>
      </c>
      <c r="BA16" s="6" t="n">
        <v>1</v>
      </c>
      <c r="BB16" s="6" t="n"/>
    </row>
    <row r="17">
      <c r="A17" s="6" t="inlineStr">
        <is>
          <t>R016</t>
        </is>
      </c>
      <c r="B17" s="6" t="n">
        <v>17</v>
      </c>
      <c r="C17" s="6" t="n">
        <v>0</v>
      </c>
      <c r="D17" s="6" t="n">
        <v>1</v>
      </c>
      <c r="E17" s="6" t="n">
        <v>1</v>
      </c>
      <c r="F17" s="6" t="n">
        <v>52</v>
      </c>
      <c r="G17" s="6" t="n">
        <v>25</v>
      </c>
      <c r="H17" s="6" t="n">
        <v>3</v>
      </c>
      <c r="I17" s="6" t="n"/>
      <c r="J17" s="6" t="n">
        <v>3</v>
      </c>
      <c r="K17" s="6" t="n">
        <v>3</v>
      </c>
      <c r="L17" s="6" t="n"/>
      <c r="M17" s="6" t="n">
        <v>2</v>
      </c>
      <c r="N17" s="6" t="n">
        <v>1</v>
      </c>
      <c r="O17" s="6" t="n">
        <v>4</v>
      </c>
      <c r="P17" s="6" t="n">
        <v>4</v>
      </c>
      <c r="Q17" s="6" t="n">
        <v>3</v>
      </c>
      <c r="R17" s="6" t="n">
        <v>4</v>
      </c>
      <c r="S17" s="6" t="n">
        <v>4</v>
      </c>
      <c r="T17" s="6" t="n">
        <v>4</v>
      </c>
      <c r="U17" s="6" t="n">
        <v>4</v>
      </c>
      <c r="V17" s="6" t="n">
        <v>4</v>
      </c>
      <c r="W17" s="6" t="n">
        <v>2</v>
      </c>
      <c r="X17" s="6" t="n">
        <v>2</v>
      </c>
      <c r="Y17" s="6" t="n">
        <v>4</v>
      </c>
      <c r="Z17" s="6" t="n">
        <v>1</v>
      </c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25">
        <f>IF(COUNT(O17:V17)&lt;8,"",AVERAGE(O17:V17))</f>
        <v/>
      </c>
      <c r="AN17" s="25">
        <f>IF(COUNT(O17:O17)&lt;1,"",AVERAGE(O17:O17))</f>
        <v/>
      </c>
      <c r="AO17" s="25">
        <f>IF(COUNT(P17:P17)&lt;1,"",AVERAGE(P17:P17))</f>
        <v/>
      </c>
      <c r="AP17" s="25">
        <f>IF(COUNT(Q17:R17)&lt;2,"",AVERAGE(Q17:R17))</f>
        <v/>
      </c>
      <c r="AQ17" s="25">
        <f>IF(COUNT(S17:T17)&lt;2,"",AVERAGE(S17:T17))</f>
        <v/>
      </c>
      <c r="AR17" s="25">
        <f>IF(COUNT(U17:V17)&lt;2,"",AVERAGE(U17:V17))</f>
        <v/>
      </c>
      <c r="AS17" s="25">
        <f>IF(COUNT(W17:Z17)&lt;4,"",AVERAGE(W17:Z17))</f>
        <v/>
      </c>
      <c r="AT17" s="25">
        <f>IF($C17&lt;&gt;1,"",IF(COUNT(AA17:AB17)&lt;2,"",AVERAGE(AA17:AB17)))</f>
        <v/>
      </c>
      <c r="AU17" s="25">
        <f>IF($C17&lt;&gt;1,"",IF(COUNT(AC17:AD17)&lt;2,"",AVERAGE(AC17:AD17)))</f>
        <v/>
      </c>
      <c r="AV17" s="25">
        <f>IF($C17&lt;&gt;1,"",IF(COUNT(AE17:AF17)&lt;2,"",AVERAGE(AE17:AF17)))</f>
        <v/>
      </c>
      <c r="AW17" s="25">
        <f>IF($C17&lt;&gt;1,"",IF(COUNT(AG17:AH17)&lt;2,"",AVERAGE(AG17:AH17)))</f>
        <v/>
      </c>
      <c r="AX17" s="25">
        <f>IF($C17&lt;&gt;1,"",IF(COUNT(AA17:AH17)&lt;8,"",AVERAGE(AA17:AH17)))</f>
        <v/>
      </c>
      <c r="AY17" s="25">
        <f>IF($C17&lt;&gt;1,"",IF(COUNT(AI17:AL17)&lt;4,"",AVERAGE(AI17:AL17)))</f>
        <v/>
      </c>
      <c r="AZ17" s="9">
        <f>IF($C17&lt;&gt;1,"",IF(OR(K17="",M17=""),"",IF(AND(OR(K17=3,K17=4),M17=3),1,0)))</f>
        <v/>
      </c>
      <c r="BA17" s="6" t="n">
        <v>1</v>
      </c>
      <c r="BB17" s="6" t="n"/>
    </row>
    <row r="18">
      <c r="A18" s="6" t="inlineStr">
        <is>
          <t>R017</t>
        </is>
      </c>
      <c r="B18" s="6" t="n">
        <v>18</v>
      </c>
      <c r="C18" s="6" t="n">
        <v>1</v>
      </c>
      <c r="D18" s="6" t="n">
        <v>2</v>
      </c>
      <c r="E18" s="6" t="n">
        <v>1</v>
      </c>
      <c r="F18" s="6" t="n">
        <v>54</v>
      </c>
      <c r="G18" s="6" t="n">
        <v>20</v>
      </c>
      <c r="H18" s="6" t="n">
        <v>1</v>
      </c>
      <c r="I18" s="6" t="n"/>
      <c r="J18" s="6" t="n">
        <v>4</v>
      </c>
      <c r="K18" s="6" t="n">
        <v>4</v>
      </c>
      <c r="L18" s="6" t="n"/>
      <c r="M18" s="6" t="n">
        <v>3</v>
      </c>
      <c r="N18" s="6" t="n">
        <v>2</v>
      </c>
      <c r="O18" s="6" t="n">
        <v>3</v>
      </c>
      <c r="P18" s="6" t="n">
        <v>4</v>
      </c>
      <c r="Q18" s="6" t="n">
        <v>4</v>
      </c>
      <c r="R18" s="6" t="n">
        <v>4</v>
      </c>
      <c r="S18" s="6" t="n">
        <v>4</v>
      </c>
      <c r="T18" s="6" t="n">
        <v>4</v>
      </c>
      <c r="U18" s="6" t="n">
        <v>4</v>
      </c>
      <c r="V18" s="6" t="n">
        <v>4</v>
      </c>
      <c r="W18" s="6" t="n">
        <v>2</v>
      </c>
      <c r="X18" s="6" t="n">
        <v>2</v>
      </c>
      <c r="Y18" s="6" t="n">
        <v>2</v>
      </c>
      <c r="Z18" s="6" t="n">
        <v>2</v>
      </c>
      <c r="AA18" s="6" t="n">
        <v>3</v>
      </c>
      <c r="AB18" s="6" t="n">
        <v>4</v>
      </c>
      <c r="AC18" s="6" t="n">
        <v>4</v>
      </c>
      <c r="AD18" s="6" t="n">
        <v>4</v>
      </c>
      <c r="AE18" s="6" t="n">
        <v>3</v>
      </c>
      <c r="AF18" s="6" t="n">
        <v>3</v>
      </c>
      <c r="AG18" s="6" t="n">
        <v>4</v>
      </c>
      <c r="AH18" s="6" t="n">
        <v>3</v>
      </c>
      <c r="AI18" s="6" t="n">
        <v>4</v>
      </c>
      <c r="AJ18" s="6" t="n">
        <v>4</v>
      </c>
      <c r="AK18" s="6" t="n">
        <v>4</v>
      </c>
      <c r="AL18" s="6" t="n">
        <v>4</v>
      </c>
      <c r="AM18" s="25">
        <f>IF(COUNT(O18:V18)&lt;8,"",AVERAGE(O18:V18))</f>
        <v/>
      </c>
      <c r="AN18" s="25">
        <f>IF(COUNT(O18:O18)&lt;1,"",AVERAGE(O18:O18))</f>
        <v/>
      </c>
      <c r="AO18" s="25">
        <f>IF(COUNT(P18:P18)&lt;1,"",AVERAGE(P18:P18))</f>
        <v/>
      </c>
      <c r="AP18" s="25">
        <f>IF(COUNT(Q18:R18)&lt;2,"",AVERAGE(Q18:R18))</f>
        <v/>
      </c>
      <c r="AQ18" s="25">
        <f>IF(COUNT(S18:T18)&lt;2,"",AVERAGE(S18:T18))</f>
        <v/>
      </c>
      <c r="AR18" s="25">
        <f>IF(COUNT(U18:V18)&lt;2,"",AVERAGE(U18:V18))</f>
        <v/>
      </c>
      <c r="AS18" s="25">
        <f>IF(COUNT(W18:Z18)&lt;4,"",AVERAGE(W18:Z18))</f>
        <v/>
      </c>
      <c r="AT18" s="25">
        <f>IF($C18&lt;&gt;1,"",IF(COUNT(AA18:AB18)&lt;2,"",AVERAGE(AA18:AB18)))</f>
        <v/>
      </c>
      <c r="AU18" s="25">
        <f>IF($C18&lt;&gt;1,"",IF(COUNT(AC18:AD18)&lt;2,"",AVERAGE(AC18:AD18)))</f>
        <v/>
      </c>
      <c r="AV18" s="25">
        <f>IF($C18&lt;&gt;1,"",IF(COUNT(AE18:AF18)&lt;2,"",AVERAGE(AE18:AF18)))</f>
        <v/>
      </c>
      <c r="AW18" s="25">
        <f>IF($C18&lt;&gt;1,"",IF(COUNT(AG18:AH18)&lt;2,"",AVERAGE(AG18:AH18)))</f>
        <v/>
      </c>
      <c r="AX18" s="25">
        <f>IF($C18&lt;&gt;1,"",IF(COUNT(AA18:AH18)&lt;8,"",AVERAGE(AA18:AH18)))</f>
        <v/>
      </c>
      <c r="AY18" s="25">
        <f>IF($C18&lt;&gt;1,"",IF(COUNT(AI18:AL18)&lt;4,"",AVERAGE(AI18:AL18)))</f>
        <v/>
      </c>
      <c r="AZ18" s="9">
        <f>IF($C18&lt;&gt;1,"",IF(OR(K18="",M18=""),"",IF(AND(OR(K18=3,K18=4),M18=3),1,0)))</f>
        <v/>
      </c>
      <c r="BA18" s="6" t="n">
        <v>1</v>
      </c>
      <c r="BB18" s="6" t="n"/>
    </row>
    <row r="19">
      <c r="A19" s="6" t="inlineStr">
        <is>
          <t>R018</t>
        </is>
      </c>
      <c r="B19" s="6" t="n">
        <v>19</v>
      </c>
      <c r="C19" s="6" t="n">
        <v>0</v>
      </c>
      <c r="D19" s="6" t="n">
        <v>1</v>
      </c>
      <c r="E19" s="6" t="n">
        <v>1</v>
      </c>
      <c r="F19" s="6" t="n">
        <v>28</v>
      </c>
      <c r="G19" s="6" t="n">
        <v>3</v>
      </c>
      <c r="H19" s="6" t="n">
        <v>2</v>
      </c>
      <c r="I19" s="6" t="n"/>
      <c r="J19" s="6" t="n">
        <v>4</v>
      </c>
      <c r="K19" s="6" t="n">
        <v>2</v>
      </c>
      <c r="L19" s="6" t="n"/>
      <c r="M19" s="6" t="n">
        <v>2</v>
      </c>
      <c r="N19" s="6" t="n">
        <v>2</v>
      </c>
      <c r="O19" s="6" t="n">
        <v>3</v>
      </c>
      <c r="P19" s="6" t="n">
        <v>3</v>
      </c>
      <c r="Q19" s="6" t="n">
        <v>2</v>
      </c>
      <c r="R19" s="6" t="n">
        <v>2</v>
      </c>
      <c r="S19" s="6" t="n">
        <v>2</v>
      </c>
      <c r="T19" s="6" t="n">
        <v>1</v>
      </c>
      <c r="U19" s="6" t="n">
        <v>2</v>
      </c>
      <c r="V19" s="6" t="n">
        <v>4</v>
      </c>
      <c r="W19" s="6" t="n">
        <v>1</v>
      </c>
      <c r="X19" s="6" t="n">
        <v>1</v>
      </c>
      <c r="Y19" s="6" t="n">
        <v>1</v>
      </c>
      <c r="Z19" s="6" t="n">
        <v>1</v>
      </c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25">
        <f>IF(COUNT(O19:V19)&lt;8,"",AVERAGE(O19:V19))</f>
        <v/>
      </c>
      <c r="AN19" s="25">
        <f>IF(COUNT(O19:O19)&lt;1,"",AVERAGE(O19:O19))</f>
        <v/>
      </c>
      <c r="AO19" s="25">
        <f>IF(COUNT(P19:P19)&lt;1,"",AVERAGE(P19:P19))</f>
        <v/>
      </c>
      <c r="AP19" s="25">
        <f>IF(COUNT(Q19:R19)&lt;2,"",AVERAGE(Q19:R19))</f>
        <v/>
      </c>
      <c r="AQ19" s="25">
        <f>IF(COUNT(S19:T19)&lt;2,"",AVERAGE(S19:T19))</f>
        <v/>
      </c>
      <c r="AR19" s="25">
        <f>IF(COUNT(U19:V19)&lt;2,"",AVERAGE(U19:V19))</f>
        <v/>
      </c>
      <c r="AS19" s="25">
        <f>IF(COUNT(W19:Z19)&lt;4,"",AVERAGE(W19:Z19))</f>
        <v/>
      </c>
      <c r="AT19" s="25">
        <f>IF($C19&lt;&gt;1,"",IF(COUNT(AA19:AB19)&lt;2,"",AVERAGE(AA19:AB19)))</f>
        <v/>
      </c>
      <c r="AU19" s="25">
        <f>IF($C19&lt;&gt;1,"",IF(COUNT(AC19:AD19)&lt;2,"",AVERAGE(AC19:AD19)))</f>
        <v/>
      </c>
      <c r="AV19" s="25">
        <f>IF($C19&lt;&gt;1,"",IF(COUNT(AE19:AF19)&lt;2,"",AVERAGE(AE19:AF19)))</f>
        <v/>
      </c>
      <c r="AW19" s="25">
        <f>IF($C19&lt;&gt;1,"",IF(COUNT(AG19:AH19)&lt;2,"",AVERAGE(AG19:AH19)))</f>
        <v/>
      </c>
      <c r="AX19" s="25">
        <f>IF($C19&lt;&gt;1,"",IF(COUNT(AA19:AH19)&lt;8,"",AVERAGE(AA19:AH19)))</f>
        <v/>
      </c>
      <c r="AY19" s="25">
        <f>IF($C19&lt;&gt;1,"",IF(COUNT(AI19:AL19)&lt;4,"",AVERAGE(AI19:AL19)))</f>
        <v/>
      </c>
      <c r="AZ19" s="9">
        <f>IF($C19&lt;&gt;1,"",IF(OR(K19="",M19=""),"",IF(AND(OR(K19=3,K19=4),M19=3),1,0)))</f>
        <v/>
      </c>
      <c r="BA19" s="6" t="n">
        <v>1</v>
      </c>
      <c r="BB19" s="6" t="n"/>
    </row>
    <row r="20">
      <c r="A20" s="6" t="inlineStr">
        <is>
          <t>R019</t>
        </is>
      </c>
      <c r="B20" s="6" t="n">
        <v>20</v>
      </c>
      <c r="C20" s="6" t="n">
        <v>1</v>
      </c>
      <c r="D20" s="6" t="n">
        <v>2</v>
      </c>
      <c r="E20" s="6" t="n">
        <v>1</v>
      </c>
      <c r="F20" s="6" t="n">
        <v>34</v>
      </c>
      <c r="G20" s="6" t="n">
        <v>2</v>
      </c>
      <c r="H20" s="6" t="n">
        <v>1</v>
      </c>
      <c r="I20" s="6" t="n"/>
      <c r="J20" s="6" t="n">
        <v>2</v>
      </c>
      <c r="K20" s="6" t="n">
        <v>2</v>
      </c>
      <c r="L20" s="6" t="n"/>
      <c r="M20" s="6" t="n">
        <v>1</v>
      </c>
      <c r="N20" s="6" t="n">
        <v>2</v>
      </c>
      <c r="O20" s="6" t="n">
        <v>3</v>
      </c>
      <c r="P20" s="6" t="n">
        <v>4</v>
      </c>
      <c r="Q20" s="6" t="n">
        <v>4</v>
      </c>
      <c r="R20" s="6" t="n">
        <v>4</v>
      </c>
      <c r="S20" s="6" t="n">
        <v>3</v>
      </c>
      <c r="T20" s="6" t="n">
        <v>3</v>
      </c>
      <c r="U20" s="6" t="n">
        <v>4</v>
      </c>
      <c r="V20" s="6" t="n">
        <v>4</v>
      </c>
      <c r="W20" s="6" t="n">
        <v>3</v>
      </c>
      <c r="X20" s="6" t="n">
        <v>3</v>
      </c>
      <c r="Y20" s="6" t="n">
        <v>3</v>
      </c>
      <c r="Z20" s="6" t="n">
        <v>3</v>
      </c>
      <c r="AA20" s="6" t="n">
        <v>3</v>
      </c>
      <c r="AB20" s="6" t="n">
        <v>4</v>
      </c>
      <c r="AC20" s="6" t="n">
        <v>3</v>
      </c>
      <c r="AD20" s="6" t="n">
        <v>3</v>
      </c>
      <c r="AE20" s="6" t="n">
        <v>2</v>
      </c>
      <c r="AF20" s="6" t="n">
        <v>3</v>
      </c>
      <c r="AG20" s="6" t="n">
        <v>4</v>
      </c>
      <c r="AH20" s="6" t="n">
        <v>3</v>
      </c>
      <c r="AI20" s="6" t="n">
        <v>4</v>
      </c>
      <c r="AJ20" s="6" t="n">
        <v>4</v>
      </c>
      <c r="AK20" s="6" t="n">
        <v>4</v>
      </c>
      <c r="AL20" s="6" t="n">
        <v>3</v>
      </c>
      <c r="AM20" s="25">
        <f>IF(COUNT(O20:V20)&lt;8,"",AVERAGE(O20:V20))</f>
        <v/>
      </c>
      <c r="AN20" s="25">
        <f>IF(COUNT(O20:O20)&lt;1,"",AVERAGE(O20:O20))</f>
        <v/>
      </c>
      <c r="AO20" s="25">
        <f>IF(COUNT(P20:P20)&lt;1,"",AVERAGE(P20:P20))</f>
        <v/>
      </c>
      <c r="AP20" s="25">
        <f>IF(COUNT(Q20:R20)&lt;2,"",AVERAGE(Q20:R20))</f>
        <v/>
      </c>
      <c r="AQ20" s="25">
        <f>IF(COUNT(S20:T20)&lt;2,"",AVERAGE(S20:T20))</f>
        <v/>
      </c>
      <c r="AR20" s="25">
        <f>IF(COUNT(U20:V20)&lt;2,"",AVERAGE(U20:V20))</f>
        <v/>
      </c>
      <c r="AS20" s="25">
        <f>IF(COUNT(W20:Z20)&lt;4,"",AVERAGE(W20:Z20))</f>
        <v/>
      </c>
      <c r="AT20" s="25">
        <f>IF($C20&lt;&gt;1,"",IF(COUNT(AA20:AB20)&lt;2,"",AVERAGE(AA20:AB20)))</f>
        <v/>
      </c>
      <c r="AU20" s="25">
        <f>IF($C20&lt;&gt;1,"",IF(COUNT(AC20:AD20)&lt;2,"",AVERAGE(AC20:AD20)))</f>
        <v/>
      </c>
      <c r="AV20" s="25">
        <f>IF($C20&lt;&gt;1,"",IF(COUNT(AE20:AF20)&lt;2,"",AVERAGE(AE20:AF20)))</f>
        <v/>
      </c>
      <c r="AW20" s="25">
        <f>IF($C20&lt;&gt;1,"",IF(COUNT(AG20:AH20)&lt;2,"",AVERAGE(AG20:AH20)))</f>
        <v/>
      </c>
      <c r="AX20" s="25">
        <f>IF($C20&lt;&gt;1,"",IF(COUNT(AA20:AH20)&lt;8,"",AVERAGE(AA20:AH20)))</f>
        <v/>
      </c>
      <c r="AY20" s="25">
        <f>IF($C20&lt;&gt;1,"",IF(COUNT(AI20:AL20)&lt;4,"",AVERAGE(AI20:AL20)))</f>
        <v/>
      </c>
      <c r="AZ20" s="9">
        <f>IF($C20&lt;&gt;1,"",IF(OR(K20="",M20=""),"",IF(AND(OR(K20=3,K20=4),M20=3),1,0)))</f>
        <v/>
      </c>
      <c r="BA20" s="6" t="n">
        <v>1</v>
      </c>
      <c r="BB20" s="6" t="n"/>
    </row>
    <row r="21">
      <c r="A21" s="6" t="inlineStr">
        <is>
          <t>R020</t>
        </is>
      </c>
      <c r="B21" s="6" t="n">
        <v>21</v>
      </c>
      <c r="C21" s="6" t="n">
        <v>0</v>
      </c>
      <c r="D21" s="6" t="n">
        <v>1</v>
      </c>
      <c r="E21" s="6" t="n">
        <v>1</v>
      </c>
      <c r="F21" s="6" t="n">
        <v>65</v>
      </c>
      <c r="G21" s="6" t="n">
        <v>45</v>
      </c>
      <c r="H21" s="6" t="n">
        <v>3</v>
      </c>
      <c r="I21" s="6" t="n"/>
      <c r="J21" s="6" t="n">
        <v>2</v>
      </c>
      <c r="K21" s="6" t="n">
        <v>5</v>
      </c>
      <c r="L21" s="6" t="inlineStr">
        <is>
          <t>현장상주</t>
        </is>
      </c>
      <c r="M21" s="6" t="n">
        <v>1</v>
      </c>
      <c r="N21" s="6" t="n">
        <v>1</v>
      </c>
      <c r="O21" s="6" t="n">
        <v>5</v>
      </c>
      <c r="P21" s="6" t="n">
        <v>5</v>
      </c>
      <c r="Q21" s="6" t="n">
        <v>5</v>
      </c>
      <c r="R21" s="6" t="n">
        <v>5</v>
      </c>
      <c r="S21" s="6" t="n">
        <v>5</v>
      </c>
      <c r="T21" s="6" t="n">
        <v>5</v>
      </c>
      <c r="U21" s="6" t="n">
        <v>5</v>
      </c>
      <c r="V21" s="6" t="n">
        <v>5</v>
      </c>
      <c r="W21" s="6" t="n">
        <v>1</v>
      </c>
      <c r="X21" s="6" t="n">
        <v>1</v>
      </c>
      <c r="Y21" s="6" t="n">
        <v>1</v>
      </c>
      <c r="Z21" s="6" t="n">
        <v>1</v>
      </c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25">
        <f>IF(COUNT(O21:V21)&lt;8,"",AVERAGE(O21:V21))</f>
        <v/>
      </c>
      <c r="AN21" s="25">
        <f>IF(COUNT(O21:O21)&lt;1,"",AVERAGE(O21:O21))</f>
        <v/>
      </c>
      <c r="AO21" s="25">
        <f>IF(COUNT(P21:P21)&lt;1,"",AVERAGE(P21:P21))</f>
        <v/>
      </c>
      <c r="AP21" s="25">
        <f>IF(COUNT(Q21:R21)&lt;2,"",AVERAGE(Q21:R21))</f>
        <v/>
      </c>
      <c r="AQ21" s="25">
        <f>IF(COUNT(S21:T21)&lt;2,"",AVERAGE(S21:T21))</f>
        <v/>
      </c>
      <c r="AR21" s="25">
        <f>IF(COUNT(U21:V21)&lt;2,"",AVERAGE(U21:V21))</f>
        <v/>
      </c>
      <c r="AS21" s="25">
        <f>IF(COUNT(W21:Z21)&lt;4,"",AVERAGE(W21:Z21))</f>
        <v/>
      </c>
      <c r="AT21" s="25">
        <f>IF($C21&lt;&gt;1,"",IF(COUNT(AA21:AB21)&lt;2,"",AVERAGE(AA21:AB21)))</f>
        <v/>
      </c>
      <c r="AU21" s="25">
        <f>IF($C21&lt;&gt;1,"",IF(COUNT(AC21:AD21)&lt;2,"",AVERAGE(AC21:AD21)))</f>
        <v/>
      </c>
      <c r="AV21" s="25">
        <f>IF($C21&lt;&gt;1,"",IF(COUNT(AE21:AF21)&lt;2,"",AVERAGE(AE21:AF21)))</f>
        <v/>
      </c>
      <c r="AW21" s="25">
        <f>IF($C21&lt;&gt;1,"",IF(COUNT(AG21:AH21)&lt;2,"",AVERAGE(AG21:AH21)))</f>
        <v/>
      </c>
      <c r="AX21" s="25">
        <f>IF($C21&lt;&gt;1,"",IF(COUNT(AA21:AH21)&lt;8,"",AVERAGE(AA21:AH21)))</f>
        <v/>
      </c>
      <c r="AY21" s="25">
        <f>IF($C21&lt;&gt;1,"",IF(COUNT(AI21:AL21)&lt;4,"",AVERAGE(AI21:AL21)))</f>
        <v/>
      </c>
      <c r="AZ21" s="9">
        <f>IF($C21&lt;&gt;1,"",IF(OR(K21="",M21=""),"",IF(AND(OR(K21=3,K21=4),M21=3),1,0)))</f>
        <v/>
      </c>
      <c r="BA21" s="6" t="n">
        <v>1</v>
      </c>
      <c r="BB21" s="6" t="n"/>
    </row>
    <row r="22">
      <c r="A22" s="6" t="inlineStr">
        <is>
          <t>R021</t>
        </is>
      </c>
      <c r="B22" s="6" t="n">
        <v>22</v>
      </c>
      <c r="C22" s="6" t="n">
        <v>1</v>
      </c>
      <c r="D22" s="6" t="n">
        <v>1</v>
      </c>
      <c r="E22" s="6" t="n">
        <v>1</v>
      </c>
      <c r="F22" s="6" t="n">
        <v>66</v>
      </c>
      <c r="G22" s="6" t="n">
        <v>33</v>
      </c>
      <c r="H22" s="6" t="n">
        <v>3</v>
      </c>
      <c r="I22" s="6" t="n"/>
      <c r="J22" s="6" t="n">
        <v>1</v>
      </c>
      <c r="K22" s="6" t="n">
        <v>2</v>
      </c>
      <c r="L22" s="6" t="n"/>
      <c r="M22" s="6" t="n">
        <v>1</v>
      </c>
      <c r="N22" s="6" t="n">
        <v>1</v>
      </c>
      <c r="O22" s="6" t="n">
        <v>5</v>
      </c>
      <c r="P22" s="6" t="n">
        <v>5</v>
      </c>
      <c r="Q22" s="6" t="n">
        <v>4</v>
      </c>
      <c r="R22" s="6" t="n">
        <v>4</v>
      </c>
      <c r="S22" s="6" t="n">
        <v>5</v>
      </c>
      <c r="T22" s="6" t="n">
        <v>4</v>
      </c>
      <c r="U22" s="6" t="n">
        <v>5</v>
      </c>
      <c r="V22" s="6" t="n">
        <v>5</v>
      </c>
      <c r="W22" s="6" t="n">
        <v>5</v>
      </c>
      <c r="X22" s="6" t="n">
        <v>5</v>
      </c>
      <c r="Y22" s="6" t="n">
        <v>5</v>
      </c>
      <c r="Z22" s="6" t="n">
        <v>5</v>
      </c>
      <c r="AA22" s="6" t="n">
        <v>1</v>
      </c>
      <c r="AB22" s="6" t="n">
        <v>2</v>
      </c>
      <c r="AC22" s="6" t="n">
        <v>4</v>
      </c>
      <c r="AD22" s="6" t="n">
        <v>4</v>
      </c>
      <c r="AE22" s="6" t="n">
        <v>5</v>
      </c>
      <c r="AF22" s="6" t="n">
        <v>5</v>
      </c>
      <c r="AG22" s="6" t="n">
        <v>5</v>
      </c>
      <c r="AH22" s="6" t="n">
        <v>5</v>
      </c>
      <c r="AI22" s="6" t="n">
        <v>5</v>
      </c>
      <c r="AJ22" s="6" t="n">
        <v>5</v>
      </c>
      <c r="AK22" s="6" t="n">
        <v>5</v>
      </c>
      <c r="AL22" s="6" t="n">
        <v>5</v>
      </c>
      <c r="AM22" s="25">
        <f>IF(COUNT(O22:V22)&lt;8,"",AVERAGE(O22:V22))</f>
        <v/>
      </c>
      <c r="AN22" s="25">
        <f>IF(COUNT(O22:O22)&lt;1,"",AVERAGE(O22:O22))</f>
        <v/>
      </c>
      <c r="AO22" s="25">
        <f>IF(COUNT(P22:P22)&lt;1,"",AVERAGE(P22:P22))</f>
        <v/>
      </c>
      <c r="AP22" s="25">
        <f>IF(COUNT(Q22:R22)&lt;2,"",AVERAGE(Q22:R22))</f>
        <v/>
      </c>
      <c r="AQ22" s="25">
        <f>IF(COUNT(S22:T22)&lt;2,"",AVERAGE(S22:T22))</f>
        <v/>
      </c>
      <c r="AR22" s="25">
        <f>IF(COUNT(U22:V22)&lt;2,"",AVERAGE(U22:V22))</f>
        <v/>
      </c>
      <c r="AS22" s="25">
        <f>IF(COUNT(W22:Z22)&lt;4,"",AVERAGE(W22:Z22))</f>
        <v/>
      </c>
      <c r="AT22" s="25">
        <f>IF($C22&lt;&gt;1,"",IF(COUNT(AA22:AB22)&lt;2,"",AVERAGE(AA22:AB22)))</f>
        <v/>
      </c>
      <c r="AU22" s="25">
        <f>IF($C22&lt;&gt;1,"",IF(COUNT(AC22:AD22)&lt;2,"",AVERAGE(AC22:AD22)))</f>
        <v/>
      </c>
      <c r="AV22" s="25">
        <f>IF($C22&lt;&gt;1,"",IF(COUNT(AE22:AF22)&lt;2,"",AVERAGE(AE22:AF22)))</f>
        <v/>
      </c>
      <c r="AW22" s="25">
        <f>IF($C22&lt;&gt;1,"",IF(COUNT(AG22:AH22)&lt;2,"",AVERAGE(AG22:AH22)))</f>
        <v/>
      </c>
      <c r="AX22" s="25">
        <f>IF($C22&lt;&gt;1,"",IF(COUNT(AA22:AH22)&lt;8,"",AVERAGE(AA22:AH22)))</f>
        <v/>
      </c>
      <c r="AY22" s="25">
        <f>IF($C22&lt;&gt;1,"",IF(COUNT(AI22:AL22)&lt;4,"",AVERAGE(AI22:AL22)))</f>
        <v/>
      </c>
      <c r="AZ22" s="9">
        <f>IF($C22&lt;&gt;1,"",IF(OR(K22="",M22=""),"",IF(AND(OR(K22=3,K22=4),M22=3),1,0)))</f>
        <v/>
      </c>
      <c r="BA22" s="6" t="n">
        <v>1</v>
      </c>
      <c r="BB22" s="6" t="n"/>
    </row>
    <row r="23">
      <c r="A23" s="6" t="inlineStr">
        <is>
          <t>R022</t>
        </is>
      </c>
      <c r="B23" s="6" t="n">
        <v>23</v>
      </c>
      <c r="C23" s="6" t="n">
        <v>0</v>
      </c>
      <c r="D23" s="6" t="n">
        <v>1</v>
      </c>
      <c r="E23" s="6" t="n">
        <v>1</v>
      </c>
      <c r="F23" s="6" t="n">
        <v>56</v>
      </c>
      <c r="G23" s="6" t="n">
        <v>30</v>
      </c>
      <c r="H23" s="6" t="n">
        <v>3</v>
      </c>
      <c r="I23" s="6" t="n"/>
      <c r="J23" s="6" t="n">
        <v>2</v>
      </c>
      <c r="K23" s="6" t="n">
        <v>2</v>
      </c>
      <c r="L23" s="6" t="n"/>
      <c r="M23" s="6" t="n">
        <v>2</v>
      </c>
      <c r="N23" s="6" t="n">
        <v>2</v>
      </c>
      <c r="O23" s="6" t="n">
        <v>4</v>
      </c>
      <c r="P23" s="6" t="n">
        <v>5</v>
      </c>
      <c r="Q23" s="6" t="n">
        <v>3</v>
      </c>
      <c r="R23" s="6" t="n">
        <v>3</v>
      </c>
      <c r="S23" s="6" t="n">
        <v>3</v>
      </c>
      <c r="T23" s="6" t="n">
        <v>3</v>
      </c>
      <c r="U23" s="6" t="n">
        <v>4</v>
      </c>
      <c r="V23" s="6" t="n">
        <v>4</v>
      </c>
      <c r="W23" s="6" t="n">
        <v>3</v>
      </c>
      <c r="X23" s="6" t="n">
        <v>2</v>
      </c>
      <c r="Y23" s="6" t="n">
        <v>2</v>
      </c>
      <c r="Z23" s="6" t="n">
        <v>3</v>
      </c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25">
        <f>IF(COUNT(O23:V23)&lt;8,"",AVERAGE(O23:V23))</f>
        <v/>
      </c>
      <c r="AN23" s="25">
        <f>IF(COUNT(O23:O23)&lt;1,"",AVERAGE(O23:O23))</f>
        <v/>
      </c>
      <c r="AO23" s="25">
        <f>IF(COUNT(P23:P23)&lt;1,"",AVERAGE(P23:P23))</f>
        <v/>
      </c>
      <c r="AP23" s="25">
        <f>IF(COUNT(Q23:R23)&lt;2,"",AVERAGE(Q23:R23))</f>
        <v/>
      </c>
      <c r="AQ23" s="25">
        <f>IF(COUNT(S23:T23)&lt;2,"",AVERAGE(S23:T23))</f>
        <v/>
      </c>
      <c r="AR23" s="25">
        <f>IF(COUNT(U23:V23)&lt;2,"",AVERAGE(U23:V23))</f>
        <v/>
      </c>
      <c r="AS23" s="25">
        <f>IF(COUNT(W23:Z23)&lt;4,"",AVERAGE(W23:Z23))</f>
        <v/>
      </c>
      <c r="AT23" s="25">
        <f>IF($C23&lt;&gt;1,"",IF(COUNT(AA23:AB23)&lt;2,"",AVERAGE(AA23:AB23)))</f>
        <v/>
      </c>
      <c r="AU23" s="25">
        <f>IF($C23&lt;&gt;1,"",IF(COUNT(AC23:AD23)&lt;2,"",AVERAGE(AC23:AD23)))</f>
        <v/>
      </c>
      <c r="AV23" s="25">
        <f>IF($C23&lt;&gt;1,"",IF(COUNT(AE23:AF23)&lt;2,"",AVERAGE(AE23:AF23)))</f>
        <v/>
      </c>
      <c r="AW23" s="25">
        <f>IF($C23&lt;&gt;1,"",IF(COUNT(AG23:AH23)&lt;2,"",AVERAGE(AG23:AH23)))</f>
        <v/>
      </c>
      <c r="AX23" s="25">
        <f>IF($C23&lt;&gt;1,"",IF(COUNT(AA23:AH23)&lt;8,"",AVERAGE(AA23:AH23)))</f>
        <v/>
      </c>
      <c r="AY23" s="25">
        <f>IF($C23&lt;&gt;1,"",IF(COUNT(AI23:AL23)&lt;4,"",AVERAGE(AI23:AL23)))</f>
        <v/>
      </c>
      <c r="AZ23" s="9">
        <f>IF($C23&lt;&gt;1,"",IF(OR(K23="",M23=""),"",IF(AND(OR(K23=3,K23=4),M23=3),1,0)))</f>
        <v/>
      </c>
      <c r="BA23" s="6" t="n">
        <v>1</v>
      </c>
      <c r="BB23" s="6" t="n"/>
    </row>
    <row r="24">
      <c r="A24" s="6" t="inlineStr">
        <is>
          <t>R023</t>
        </is>
      </c>
      <c r="B24" s="6" t="n">
        <v>24</v>
      </c>
      <c r="C24" s="6" t="n">
        <v>0</v>
      </c>
      <c r="D24" s="6" t="n">
        <v>1</v>
      </c>
      <c r="E24" s="6" t="n">
        <v>1</v>
      </c>
      <c r="F24" s="6" t="n">
        <v>63</v>
      </c>
      <c r="G24" s="6" t="n">
        <v>33</v>
      </c>
      <c r="H24" s="6" t="n">
        <v>2</v>
      </c>
      <c r="I24" s="6" t="n"/>
      <c r="J24" s="6" t="n">
        <v>4</v>
      </c>
      <c r="K24" s="6" t="n">
        <v>2</v>
      </c>
      <c r="L24" s="6" t="n"/>
      <c r="M24" s="6" t="n">
        <v>1</v>
      </c>
      <c r="N24" s="6" t="n">
        <v>3</v>
      </c>
      <c r="O24" s="6" t="n">
        <v>3</v>
      </c>
      <c r="P24" s="6" t="n">
        <v>4</v>
      </c>
      <c r="Q24" s="6" t="n">
        <v>2</v>
      </c>
      <c r="R24" s="6" t="n">
        <v>2</v>
      </c>
      <c r="S24" s="6" t="n">
        <v>3</v>
      </c>
      <c r="T24" s="6" t="n">
        <v>3</v>
      </c>
      <c r="U24" s="6" t="n">
        <v>3</v>
      </c>
      <c r="V24" s="6" t="n">
        <v>3</v>
      </c>
      <c r="W24" s="6" t="n">
        <v>4</v>
      </c>
      <c r="X24" s="6" t="n">
        <v>4</v>
      </c>
      <c r="Y24" s="6" t="n">
        <v>4</v>
      </c>
      <c r="Z24" s="6" t="n">
        <v>4</v>
      </c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25">
        <f>IF(COUNT(O24:V24)&lt;8,"",AVERAGE(O24:V24))</f>
        <v/>
      </c>
      <c r="AN24" s="25">
        <f>IF(COUNT(O24:O24)&lt;1,"",AVERAGE(O24:O24))</f>
        <v/>
      </c>
      <c r="AO24" s="25">
        <f>IF(COUNT(P24:P24)&lt;1,"",AVERAGE(P24:P24))</f>
        <v/>
      </c>
      <c r="AP24" s="25">
        <f>IF(COUNT(Q24:R24)&lt;2,"",AVERAGE(Q24:R24))</f>
        <v/>
      </c>
      <c r="AQ24" s="25">
        <f>IF(COUNT(S24:T24)&lt;2,"",AVERAGE(S24:T24))</f>
        <v/>
      </c>
      <c r="AR24" s="25">
        <f>IF(COUNT(U24:V24)&lt;2,"",AVERAGE(U24:V24))</f>
        <v/>
      </c>
      <c r="AS24" s="25">
        <f>IF(COUNT(W24:Z24)&lt;4,"",AVERAGE(W24:Z24))</f>
        <v/>
      </c>
      <c r="AT24" s="25">
        <f>IF($C24&lt;&gt;1,"",IF(COUNT(AA24:AB24)&lt;2,"",AVERAGE(AA24:AB24)))</f>
        <v/>
      </c>
      <c r="AU24" s="25">
        <f>IF($C24&lt;&gt;1,"",IF(COUNT(AC24:AD24)&lt;2,"",AVERAGE(AC24:AD24)))</f>
        <v/>
      </c>
      <c r="AV24" s="25">
        <f>IF($C24&lt;&gt;1,"",IF(COUNT(AE24:AF24)&lt;2,"",AVERAGE(AE24:AF24)))</f>
        <v/>
      </c>
      <c r="AW24" s="25">
        <f>IF($C24&lt;&gt;1,"",IF(COUNT(AG24:AH24)&lt;2,"",AVERAGE(AG24:AH24)))</f>
        <v/>
      </c>
      <c r="AX24" s="25">
        <f>IF($C24&lt;&gt;1,"",IF(COUNT(AA24:AH24)&lt;8,"",AVERAGE(AA24:AH24)))</f>
        <v/>
      </c>
      <c r="AY24" s="25">
        <f>IF($C24&lt;&gt;1,"",IF(COUNT(AI24:AL24)&lt;4,"",AVERAGE(AI24:AL24)))</f>
        <v/>
      </c>
      <c r="AZ24" s="9">
        <f>IF($C24&lt;&gt;1,"",IF(OR(K24="",M24=""),"",IF(AND(OR(K24=3,K24=4),M24=3),1,0)))</f>
        <v/>
      </c>
      <c r="BA24" s="6" t="n">
        <v>1</v>
      </c>
      <c r="BB24" s="6" t="n"/>
    </row>
    <row r="25">
      <c r="A25" s="6" t="inlineStr">
        <is>
          <t>R024</t>
        </is>
      </c>
      <c r="B25" s="6" t="n">
        <v>25</v>
      </c>
      <c r="C25" s="6" t="n">
        <v>1</v>
      </c>
      <c r="D25" s="6" t="n">
        <v>1</v>
      </c>
      <c r="E25" s="6" t="n">
        <v>1</v>
      </c>
      <c r="F25" s="6" t="n">
        <v>64</v>
      </c>
      <c r="G25" s="6" t="n">
        <v>1</v>
      </c>
      <c r="H25" s="6" t="n">
        <v>3</v>
      </c>
      <c r="I25" s="6" t="n"/>
      <c r="J25" s="6" t="n">
        <v>3</v>
      </c>
      <c r="K25" s="6" t="n">
        <v>5</v>
      </c>
      <c r="L25" s="6" t="inlineStr">
        <is>
          <t>수시로 현장을 답사하여 확인한다</t>
        </is>
      </c>
      <c r="M25" s="6" t="n">
        <v>2</v>
      </c>
      <c r="N25" s="6" t="n">
        <v>1</v>
      </c>
      <c r="O25" s="6" t="n">
        <v>5</v>
      </c>
      <c r="P25" s="6" t="n">
        <v>5</v>
      </c>
      <c r="Q25" s="6" t="n">
        <v>5</v>
      </c>
      <c r="R25" s="6" t="n">
        <v>5</v>
      </c>
      <c r="S25" s="6" t="n">
        <v>5</v>
      </c>
      <c r="T25" s="6" t="n">
        <v>5</v>
      </c>
      <c r="U25" s="6" t="n">
        <v>5</v>
      </c>
      <c r="V25" s="6" t="n">
        <v>5</v>
      </c>
      <c r="W25" s="6" t="n">
        <v>3</v>
      </c>
      <c r="X25" s="6" t="n">
        <v>1</v>
      </c>
      <c r="Y25" s="6" t="n">
        <v>1</v>
      </c>
      <c r="Z25" s="6" t="n">
        <v>1</v>
      </c>
      <c r="AA25" s="6" t="n">
        <v>5</v>
      </c>
      <c r="AB25" s="6" t="n">
        <v>5</v>
      </c>
      <c r="AC25" s="6" t="n">
        <v>5</v>
      </c>
      <c r="AD25" s="6" t="n">
        <v>1</v>
      </c>
      <c r="AE25" s="6" t="n">
        <v>2</v>
      </c>
      <c r="AF25" s="6" t="n">
        <v>3</v>
      </c>
      <c r="AG25" s="6" t="n">
        <v>5</v>
      </c>
      <c r="AH25" s="6" t="n">
        <v>5</v>
      </c>
      <c r="AI25" s="6" t="n">
        <v>1</v>
      </c>
      <c r="AJ25" s="6" t="n">
        <v>1</v>
      </c>
      <c r="AK25" s="6" t="n">
        <v>5</v>
      </c>
      <c r="AL25" s="6" t="n">
        <v>1</v>
      </c>
      <c r="AM25" s="25">
        <f>IF(COUNT(O25:V25)&lt;8,"",AVERAGE(O25:V25))</f>
        <v/>
      </c>
      <c r="AN25" s="25">
        <f>IF(COUNT(O25:O25)&lt;1,"",AVERAGE(O25:O25))</f>
        <v/>
      </c>
      <c r="AO25" s="25">
        <f>IF(COUNT(P25:P25)&lt;1,"",AVERAGE(P25:P25))</f>
        <v/>
      </c>
      <c r="AP25" s="25">
        <f>IF(COUNT(Q25:R25)&lt;2,"",AVERAGE(Q25:R25))</f>
        <v/>
      </c>
      <c r="AQ25" s="25">
        <f>IF(COUNT(S25:T25)&lt;2,"",AVERAGE(S25:T25))</f>
        <v/>
      </c>
      <c r="AR25" s="25">
        <f>IF(COUNT(U25:V25)&lt;2,"",AVERAGE(U25:V25))</f>
        <v/>
      </c>
      <c r="AS25" s="25">
        <f>IF(COUNT(W25:Z25)&lt;4,"",AVERAGE(W25:Z25))</f>
        <v/>
      </c>
      <c r="AT25" s="25">
        <f>IF($C25&lt;&gt;1,"",IF(COUNT(AA25:AB25)&lt;2,"",AVERAGE(AA25:AB25)))</f>
        <v/>
      </c>
      <c r="AU25" s="25">
        <f>IF($C25&lt;&gt;1,"",IF(COUNT(AC25:AD25)&lt;2,"",AVERAGE(AC25:AD25)))</f>
        <v/>
      </c>
      <c r="AV25" s="25">
        <f>IF($C25&lt;&gt;1,"",IF(COUNT(AE25:AF25)&lt;2,"",AVERAGE(AE25:AF25)))</f>
        <v/>
      </c>
      <c r="AW25" s="25">
        <f>IF($C25&lt;&gt;1,"",IF(COUNT(AG25:AH25)&lt;2,"",AVERAGE(AG25:AH25)))</f>
        <v/>
      </c>
      <c r="AX25" s="25">
        <f>IF($C25&lt;&gt;1,"",IF(COUNT(AA25:AH25)&lt;8,"",AVERAGE(AA25:AH25)))</f>
        <v/>
      </c>
      <c r="AY25" s="25">
        <f>IF($C25&lt;&gt;1,"",IF(COUNT(AI25:AL25)&lt;4,"",AVERAGE(AI25:AL25)))</f>
        <v/>
      </c>
      <c r="AZ25" s="9">
        <f>IF($C25&lt;&gt;1,"",IF(OR(K25="",M25=""),"",IF(AND(OR(K25=3,K25=4),M25=3),1,0)))</f>
        <v/>
      </c>
      <c r="BA25" s="6" t="n">
        <v>1</v>
      </c>
      <c r="BB25" s="6" t="n"/>
    </row>
    <row r="26">
      <c r="A26" s="6" t="inlineStr">
        <is>
          <t>R025</t>
        </is>
      </c>
      <c r="B26" s="6" t="n">
        <v>26</v>
      </c>
      <c r="C26" s="6" t="n">
        <v>0</v>
      </c>
      <c r="D26" s="6" t="n">
        <v>1</v>
      </c>
      <c r="E26" s="6" t="n">
        <v>1</v>
      </c>
      <c r="F26" s="6" t="n">
        <v>48</v>
      </c>
      <c r="G26" s="6" t="n">
        <v>25</v>
      </c>
      <c r="H26" s="6" t="n">
        <v>3</v>
      </c>
      <c r="I26" s="6" t="n"/>
      <c r="J26" s="6" t="n">
        <v>4</v>
      </c>
      <c r="K26" s="6" t="n">
        <v>3</v>
      </c>
      <c r="L26" s="6" t="n"/>
      <c r="M26" s="6" t="n">
        <v>3</v>
      </c>
      <c r="N26" s="6" t="n">
        <v>1</v>
      </c>
      <c r="O26" s="6" t="n">
        <v>5</v>
      </c>
      <c r="P26" s="6" t="n">
        <v>5</v>
      </c>
      <c r="Q26" s="6" t="n">
        <v>5</v>
      </c>
      <c r="R26" s="6" t="n">
        <v>5</v>
      </c>
      <c r="S26" s="6" t="n">
        <v>5</v>
      </c>
      <c r="T26" s="6" t="n">
        <v>5</v>
      </c>
      <c r="U26" s="6" t="n">
        <v>5</v>
      </c>
      <c r="V26" s="6" t="n">
        <v>5</v>
      </c>
      <c r="W26" s="6" t="n">
        <v>2</v>
      </c>
      <c r="X26" s="6" t="n">
        <v>4</v>
      </c>
      <c r="Y26" s="6" t="n">
        <v>2</v>
      </c>
      <c r="Z26" s="6" t="n">
        <v>2</v>
      </c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25">
        <f>IF(COUNT(O26:V26)&lt;8,"",AVERAGE(O26:V26))</f>
        <v/>
      </c>
      <c r="AN26" s="25">
        <f>IF(COUNT(O26:O26)&lt;1,"",AVERAGE(O26:O26))</f>
        <v/>
      </c>
      <c r="AO26" s="25">
        <f>IF(COUNT(P26:P26)&lt;1,"",AVERAGE(P26:P26))</f>
        <v/>
      </c>
      <c r="AP26" s="25">
        <f>IF(COUNT(Q26:R26)&lt;2,"",AVERAGE(Q26:R26))</f>
        <v/>
      </c>
      <c r="AQ26" s="25">
        <f>IF(COUNT(S26:T26)&lt;2,"",AVERAGE(S26:T26))</f>
        <v/>
      </c>
      <c r="AR26" s="25">
        <f>IF(COUNT(U26:V26)&lt;2,"",AVERAGE(U26:V26))</f>
        <v/>
      </c>
      <c r="AS26" s="25">
        <f>IF(COUNT(W26:Z26)&lt;4,"",AVERAGE(W26:Z26))</f>
        <v/>
      </c>
      <c r="AT26" s="25">
        <f>IF($C26&lt;&gt;1,"",IF(COUNT(AA26:AB26)&lt;2,"",AVERAGE(AA26:AB26)))</f>
        <v/>
      </c>
      <c r="AU26" s="25">
        <f>IF($C26&lt;&gt;1,"",IF(COUNT(AC26:AD26)&lt;2,"",AVERAGE(AC26:AD26)))</f>
        <v/>
      </c>
      <c r="AV26" s="25">
        <f>IF($C26&lt;&gt;1,"",IF(COUNT(AE26:AF26)&lt;2,"",AVERAGE(AE26:AF26)))</f>
        <v/>
      </c>
      <c r="AW26" s="25">
        <f>IF($C26&lt;&gt;1,"",IF(COUNT(AG26:AH26)&lt;2,"",AVERAGE(AG26:AH26)))</f>
        <v/>
      </c>
      <c r="AX26" s="25">
        <f>IF($C26&lt;&gt;1,"",IF(COUNT(AA26:AH26)&lt;8,"",AVERAGE(AA26:AH26)))</f>
        <v/>
      </c>
      <c r="AY26" s="25">
        <f>IF($C26&lt;&gt;1,"",IF(COUNT(AI26:AL26)&lt;4,"",AVERAGE(AI26:AL26)))</f>
        <v/>
      </c>
      <c r="AZ26" s="9">
        <f>IF($C26&lt;&gt;1,"",IF(OR(K26="",M26=""),"",IF(AND(OR(K26=3,K26=4),M26=3),1,0)))</f>
        <v/>
      </c>
      <c r="BA26" s="6" t="n">
        <v>1</v>
      </c>
      <c r="BB26" s="6" t="n"/>
    </row>
    <row r="27">
      <c r="A27" s="6" t="inlineStr">
        <is>
          <t>R026</t>
        </is>
      </c>
      <c r="B27" s="6" t="n">
        <v>27</v>
      </c>
      <c r="C27" s="6" t="n">
        <v>1</v>
      </c>
      <c r="D27" s="6" t="n">
        <v>2</v>
      </c>
      <c r="E27" s="6" t="n">
        <v>1</v>
      </c>
      <c r="F27" s="6" t="n">
        <v>45</v>
      </c>
      <c r="G27" s="6" t="n">
        <v>12</v>
      </c>
      <c r="H27" s="6" t="n">
        <v>1</v>
      </c>
      <c r="I27" s="6" t="n"/>
      <c r="J27" s="6" t="n">
        <v>3</v>
      </c>
      <c r="K27" s="6" t="n">
        <v>3</v>
      </c>
      <c r="L27" s="6" t="n"/>
      <c r="M27" s="6" t="n">
        <v>2</v>
      </c>
      <c r="N27" s="6" t="n">
        <v>2</v>
      </c>
      <c r="O27" s="6" t="n">
        <v>5</v>
      </c>
      <c r="P27" s="6" t="n">
        <v>5</v>
      </c>
      <c r="Q27" s="6" t="n">
        <v>5</v>
      </c>
      <c r="R27" s="6" t="n">
        <v>5</v>
      </c>
      <c r="S27" s="6" t="n">
        <v>5</v>
      </c>
      <c r="T27" s="6" t="n">
        <v>5</v>
      </c>
      <c r="U27" s="6" t="n">
        <v>5</v>
      </c>
      <c r="V27" s="6" t="n">
        <v>5</v>
      </c>
      <c r="W27" s="6" t="n">
        <v>2</v>
      </c>
      <c r="X27" s="6" t="n">
        <v>2</v>
      </c>
      <c r="Y27" s="6" t="n">
        <v>2</v>
      </c>
      <c r="Z27" s="6" t="n">
        <v>5</v>
      </c>
      <c r="AA27" s="6" t="n">
        <v>5</v>
      </c>
      <c r="AB27" s="6" t="n">
        <v>5</v>
      </c>
      <c r="AC27" s="6" t="n">
        <v>5</v>
      </c>
      <c r="AD27" s="6" t="n">
        <v>5</v>
      </c>
      <c r="AE27" s="6" t="n">
        <v>5</v>
      </c>
      <c r="AF27" s="6" t="n">
        <v>5</v>
      </c>
      <c r="AG27" s="6" t="n">
        <v>5</v>
      </c>
      <c r="AH27" s="6" t="n">
        <v>5</v>
      </c>
      <c r="AI27" s="6" t="n">
        <v>5</v>
      </c>
      <c r="AJ27" s="6" t="n">
        <v>5</v>
      </c>
      <c r="AK27" s="6" t="n">
        <v>5</v>
      </c>
      <c r="AL27" s="6" t="n">
        <v>5</v>
      </c>
      <c r="AM27" s="25">
        <f>IF(COUNT(O27:V27)&lt;8,"",AVERAGE(O27:V27))</f>
        <v/>
      </c>
      <c r="AN27" s="25">
        <f>IF(COUNT(O27:O27)&lt;1,"",AVERAGE(O27:O27))</f>
        <v/>
      </c>
      <c r="AO27" s="25">
        <f>IF(COUNT(P27:P27)&lt;1,"",AVERAGE(P27:P27))</f>
        <v/>
      </c>
      <c r="AP27" s="25">
        <f>IF(COUNT(Q27:R27)&lt;2,"",AVERAGE(Q27:R27))</f>
        <v/>
      </c>
      <c r="AQ27" s="25">
        <f>IF(COUNT(S27:T27)&lt;2,"",AVERAGE(S27:T27))</f>
        <v/>
      </c>
      <c r="AR27" s="25">
        <f>IF(COUNT(U27:V27)&lt;2,"",AVERAGE(U27:V27))</f>
        <v/>
      </c>
      <c r="AS27" s="25">
        <f>IF(COUNT(W27:Z27)&lt;4,"",AVERAGE(W27:Z27))</f>
        <v/>
      </c>
      <c r="AT27" s="25">
        <f>IF($C27&lt;&gt;1,"",IF(COUNT(AA27:AB27)&lt;2,"",AVERAGE(AA27:AB27)))</f>
        <v/>
      </c>
      <c r="AU27" s="25">
        <f>IF($C27&lt;&gt;1,"",IF(COUNT(AC27:AD27)&lt;2,"",AVERAGE(AC27:AD27)))</f>
        <v/>
      </c>
      <c r="AV27" s="25">
        <f>IF($C27&lt;&gt;1,"",IF(COUNT(AE27:AF27)&lt;2,"",AVERAGE(AE27:AF27)))</f>
        <v/>
      </c>
      <c r="AW27" s="25">
        <f>IF($C27&lt;&gt;1,"",IF(COUNT(AG27:AH27)&lt;2,"",AVERAGE(AG27:AH27)))</f>
        <v/>
      </c>
      <c r="AX27" s="25">
        <f>IF($C27&lt;&gt;1,"",IF(COUNT(AA27:AH27)&lt;8,"",AVERAGE(AA27:AH27)))</f>
        <v/>
      </c>
      <c r="AY27" s="25">
        <f>IF($C27&lt;&gt;1,"",IF(COUNT(AI27:AL27)&lt;4,"",AVERAGE(AI27:AL27)))</f>
        <v/>
      </c>
      <c r="AZ27" s="9">
        <f>IF($C27&lt;&gt;1,"",IF(OR(K27="",M27=""),"",IF(AND(OR(K27=3,K27=4),M27=3),1,0)))</f>
        <v/>
      </c>
      <c r="BA27" s="6" t="n">
        <v>1</v>
      </c>
      <c r="BB27" s="6" t="n"/>
    </row>
    <row r="28">
      <c r="A28" s="6" t="inlineStr">
        <is>
          <t>R027</t>
        </is>
      </c>
      <c r="B28" s="6" t="n">
        <v>28</v>
      </c>
      <c r="C28" s="6" t="n">
        <v>0</v>
      </c>
      <c r="D28" s="6" t="n">
        <v>2</v>
      </c>
      <c r="E28" s="6" t="n">
        <v>1</v>
      </c>
      <c r="F28" s="6" t="n">
        <v>39</v>
      </c>
      <c r="G28" s="6" t="n">
        <v>15</v>
      </c>
      <c r="H28" s="6" t="n">
        <v>1</v>
      </c>
      <c r="I28" s="6" t="n"/>
      <c r="J28" s="6" t="n">
        <v>1</v>
      </c>
      <c r="K28" s="6" t="n">
        <v>1</v>
      </c>
      <c r="L28" s="6" t="n"/>
      <c r="M28" s="6" t="n">
        <v>2</v>
      </c>
      <c r="N28" s="6" t="n">
        <v>2</v>
      </c>
      <c r="O28" s="6" t="n">
        <v>2</v>
      </c>
      <c r="P28" s="6" t="n">
        <v>3</v>
      </c>
      <c r="Q28" s="6" t="n">
        <v>1</v>
      </c>
      <c r="R28" s="6" t="n">
        <v>2</v>
      </c>
      <c r="S28" s="6" t="n">
        <v>2</v>
      </c>
      <c r="T28" s="6" t="n">
        <v>1</v>
      </c>
      <c r="U28" s="6" t="n">
        <v>2</v>
      </c>
      <c r="V28" s="6" t="n">
        <v>2</v>
      </c>
      <c r="W28" s="6" t="n">
        <v>5</v>
      </c>
      <c r="X28" s="6" t="n">
        <v>4</v>
      </c>
      <c r="Y28" s="6" t="n">
        <v>4</v>
      </c>
      <c r="Z28" s="6" t="n">
        <v>4</v>
      </c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25">
        <f>IF(COUNT(O28:V28)&lt;8,"",AVERAGE(O28:V28))</f>
        <v/>
      </c>
      <c r="AN28" s="25">
        <f>IF(COUNT(O28:O28)&lt;1,"",AVERAGE(O28:O28))</f>
        <v/>
      </c>
      <c r="AO28" s="25">
        <f>IF(COUNT(P28:P28)&lt;1,"",AVERAGE(P28:P28))</f>
        <v/>
      </c>
      <c r="AP28" s="25">
        <f>IF(COUNT(Q28:R28)&lt;2,"",AVERAGE(Q28:R28))</f>
        <v/>
      </c>
      <c r="AQ28" s="25">
        <f>IF(COUNT(S28:T28)&lt;2,"",AVERAGE(S28:T28))</f>
        <v/>
      </c>
      <c r="AR28" s="25">
        <f>IF(COUNT(U28:V28)&lt;2,"",AVERAGE(U28:V28))</f>
        <v/>
      </c>
      <c r="AS28" s="25">
        <f>IF(COUNT(W28:Z28)&lt;4,"",AVERAGE(W28:Z28))</f>
        <v/>
      </c>
      <c r="AT28" s="25">
        <f>IF($C28&lt;&gt;1,"",IF(COUNT(AA28:AB28)&lt;2,"",AVERAGE(AA28:AB28)))</f>
        <v/>
      </c>
      <c r="AU28" s="25">
        <f>IF($C28&lt;&gt;1,"",IF(COUNT(AC28:AD28)&lt;2,"",AVERAGE(AC28:AD28)))</f>
        <v/>
      </c>
      <c r="AV28" s="25">
        <f>IF($C28&lt;&gt;1,"",IF(COUNT(AE28:AF28)&lt;2,"",AVERAGE(AE28:AF28)))</f>
        <v/>
      </c>
      <c r="AW28" s="25">
        <f>IF($C28&lt;&gt;1,"",IF(COUNT(AG28:AH28)&lt;2,"",AVERAGE(AG28:AH28)))</f>
        <v/>
      </c>
      <c r="AX28" s="25">
        <f>IF($C28&lt;&gt;1,"",IF(COUNT(AA28:AH28)&lt;8,"",AVERAGE(AA28:AH28)))</f>
        <v/>
      </c>
      <c r="AY28" s="25">
        <f>IF($C28&lt;&gt;1,"",IF(COUNT(AI28:AL28)&lt;4,"",AVERAGE(AI28:AL28)))</f>
        <v/>
      </c>
      <c r="AZ28" s="9">
        <f>IF($C28&lt;&gt;1,"",IF(OR(K28="",M28=""),"",IF(AND(OR(K28=3,K28=4),M28=3),1,0)))</f>
        <v/>
      </c>
      <c r="BA28" s="6" t="n">
        <v>1</v>
      </c>
      <c r="BB28" s="6" t="n"/>
    </row>
    <row r="29">
      <c r="A29" s="6" t="inlineStr">
        <is>
          <t>R028</t>
        </is>
      </c>
      <c r="B29" s="6" t="n">
        <v>29</v>
      </c>
      <c r="C29" s="6" t="n">
        <v>1</v>
      </c>
      <c r="D29" s="6" t="n">
        <v>1</v>
      </c>
      <c r="E29" s="6" t="n">
        <v>1</v>
      </c>
      <c r="F29" s="6" t="n">
        <v>37</v>
      </c>
      <c r="G29" s="6" t="n">
        <v>11</v>
      </c>
      <c r="H29" s="6" t="n">
        <v>2</v>
      </c>
      <c r="I29" s="6" t="n"/>
      <c r="J29" s="6" t="n">
        <v>4</v>
      </c>
      <c r="K29" s="6" t="n">
        <v>4</v>
      </c>
      <c r="L29" s="6" t="n"/>
      <c r="M29" s="6" t="n">
        <v>1</v>
      </c>
      <c r="N29" s="6" t="n">
        <v>2</v>
      </c>
      <c r="O29" s="6" t="n">
        <v>4</v>
      </c>
      <c r="P29" s="6" t="n">
        <v>4</v>
      </c>
      <c r="Q29" s="6" t="n">
        <v>4</v>
      </c>
      <c r="R29" s="6" t="n">
        <v>3</v>
      </c>
      <c r="S29" s="6" t="n">
        <v>3</v>
      </c>
      <c r="T29" s="6" t="n">
        <v>3</v>
      </c>
      <c r="U29" s="6" t="n">
        <v>5</v>
      </c>
      <c r="V29" s="6" t="n">
        <v>5</v>
      </c>
      <c r="W29" s="6" t="n">
        <v>3</v>
      </c>
      <c r="X29" s="6" t="n">
        <v>3</v>
      </c>
      <c r="Y29" s="6" t="n">
        <v>4</v>
      </c>
      <c r="Z29" s="6" t="n">
        <v>5</v>
      </c>
      <c r="AA29" s="6" t="n">
        <v>3</v>
      </c>
      <c r="AB29" s="6" t="n">
        <v>2</v>
      </c>
      <c r="AC29" s="6" t="n">
        <v>3</v>
      </c>
      <c r="AD29" s="6" t="n">
        <v>2</v>
      </c>
      <c r="AE29" s="6" t="n">
        <v>3</v>
      </c>
      <c r="AF29" s="6" t="n">
        <v>3</v>
      </c>
      <c r="AG29" s="6" t="n">
        <v>2</v>
      </c>
      <c r="AH29" s="6" t="n">
        <v>3</v>
      </c>
      <c r="AI29" s="6" t="n">
        <v>3</v>
      </c>
      <c r="AJ29" s="6" t="n">
        <v>3</v>
      </c>
      <c r="AK29" s="6" t="n">
        <v>4</v>
      </c>
      <c r="AL29" s="6" t="n">
        <v>3</v>
      </c>
      <c r="AM29" s="25">
        <f>IF(COUNT(O29:V29)&lt;8,"",AVERAGE(O29:V29))</f>
        <v/>
      </c>
      <c r="AN29" s="25">
        <f>IF(COUNT(O29:O29)&lt;1,"",AVERAGE(O29:O29))</f>
        <v/>
      </c>
      <c r="AO29" s="25">
        <f>IF(COUNT(P29:P29)&lt;1,"",AVERAGE(P29:P29))</f>
        <v/>
      </c>
      <c r="AP29" s="25">
        <f>IF(COUNT(Q29:R29)&lt;2,"",AVERAGE(Q29:R29))</f>
        <v/>
      </c>
      <c r="AQ29" s="25">
        <f>IF(COUNT(S29:T29)&lt;2,"",AVERAGE(S29:T29))</f>
        <v/>
      </c>
      <c r="AR29" s="25">
        <f>IF(COUNT(U29:V29)&lt;2,"",AVERAGE(U29:V29))</f>
        <v/>
      </c>
      <c r="AS29" s="25">
        <f>IF(COUNT(W29:Z29)&lt;4,"",AVERAGE(W29:Z29))</f>
        <v/>
      </c>
      <c r="AT29" s="25">
        <f>IF($C29&lt;&gt;1,"",IF(COUNT(AA29:AB29)&lt;2,"",AVERAGE(AA29:AB29)))</f>
        <v/>
      </c>
      <c r="AU29" s="25">
        <f>IF($C29&lt;&gt;1,"",IF(COUNT(AC29:AD29)&lt;2,"",AVERAGE(AC29:AD29)))</f>
        <v/>
      </c>
      <c r="AV29" s="25">
        <f>IF($C29&lt;&gt;1,"",IF(COUNT(AE29:AF29)&lt;2,"",AVERAGE(AE29:AF29)))</f>
        <v/>
      </c>
      <c r="AW29" s="25">
        <f>IF($C29&lt;&gt;1,"",IF(COUNT(AG29:AH29)&lt;2,"",AVERAGE(AG29:AH29)))</f>
        <v/>
      </c>
      <c r="AX29" s="25">
        <f>IF($C29&lt;&gt;1,"",IF(COUNT(AA29:AH29)&lt;8,"",AVERAGE(AA29:AH29)))</f>
        <v/>
      </c>
      <c r="AY29" s="25">
        <f>IF($C29&lt;&gt;1,"",IF(COUNT(AI29:AL29)&lt;4,"",AVERAGE(AI29:AL29)))</f>
        <v/>
      </c>
      <c r="AZ29" s="9">
        <f>IF($C29&lt;&gt;1,"",IF(OR(K29="",M29=""),"",IF(AND(OR(K29=3,K29=4),M29=3),1,0)))</f>
        <v/>
      </c>
      <c r="BA29" s="6" t="n">
        <v>1</v>
      </c>
      <c r="BB29" s="6" t="n"/>
    </row>
    <row r="30">
      <c r="A30" s="6" t="inlineStr">
        <is>
          <t>R029</t>
        </is>
      </c>
      <c r="B30" s="6" t="n">
        <v>30</v>
      </c>
      <c r="C30" s="6" t="n">
        <v>0</v>
      </c>
      <c r="D30" s="6" t="n">
        <v>1</v>
      </c>
      <c r="E30" s="6" t="n">
        <v>1</v>
      </c>
      <c r="F30" s="6" t="n">
        <v>32</v>
      </c>
      <c r="G30" s="6" t="n">
        <v>5</v>
      </c>
      <c r="H30" s="6" t="n">
        <v>2</v>
      </c>
      <c r="I30" s="6" t="n"/>
      <c r="J30" s="6" t="n">
        <v>4</v>
      </c>
      <c r="K30" s="6" t="n">
        <v>3</v>
      </c>
      <c r="L30" s="6" t="n"/>
      <c r="M30" s="6" t="n">
        <v>2</v>
      </c>
      <c r="N30" s="6" t="n">
        <v>1</v>
      </c>
      <c r="O30" s="6" t="n">
        <v>4</v>
      </c>
      <c r="P30" s="6" t="n">
        <v>4</v>
      </c>
      <c r="Q30" s="6" t="n">
        <v>3</v>
      </c>
      <c r="R30" s="6" t="n">
        <v>4</v>
      </c>
      <c r="S30" s="6" t="n">
        <v>4</v>
      </c>
      <c r="T30" s="6" t="n">
        <v>5</v>
      </c>
      <c r="U30" s="6" t="n">
        <v>5</v>
      </c>
      <c r="V30" s="6" t="n">
        <v>5</v>
      </c>
      <c r="W30" s="6" t="n">
        <v>4</v>
      </c>
      <c r="X30" s="6" t="n">
        <v>4</v>
      </c>
      <c r="Y30" s="6" t="n">
        <v>3</v>
      </c>
      <c r="Z30" s="6" t="n">
        <v>4</v>
      </c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25">
        <f>IF(COUNT(O30:V30)&lt;8,"",AVERAGE(O30:V30))</f>
        <v/>
      </c>
      <c r="AN30" s="25">
        <f>IF(COUNT(O30:O30)&lt;1,"",AVERAGE(O30:O30))</f>
        <v/>
      </c>
      <c r="AO30" s="25">
        <f>IF(COUNT(P30:P30)&lt;1,"",AVERAGE(P30:P30))</f>
        <v/>
      </c>
      <c r="AP30" s="25">
        <f>IF(COUNT(Q30:R30)&lt;2,"",AVERAGE(Q30:R30))</f>
        <v/>
      </c>
      <c r="AQ30" s="25">
        <f>IF(COUNT(S30:T30)&lt;2,"",AVERAGE(S30:T30))</f>
        <v/>
      </c>
      <c r="AR30" s="25">
        <f>IF(COUNT(U30:V30)&lt;2,"",AVERAGE(U30:V30))</f>
        <v/>
      </c>
      <c r="AS30" s="25">
        <f>IF(COUNT(W30:Z30)&lt;4,"",AVERAGE(W30:Z30))</f>
        <v/>
      </c>
      <c r="AT30" s="25">
        <f>IF($C30&lt;&gt;1,"",IF(COUNT(AA30:AB30)&lt;2,"",AVERAGE(AA30:AB30)))</f>
        <v/>
      </c>
      <c r="AU30" s="25">
        <f>IF($C30&lt;&gt;1,"",IF(COUNT(AC30:AD30)&lt;2,"",AVERAGE(AC30:AD30)))</f>
        <v/>
      </c>
      <c r="AV30" s="25">
        <f>IF($C30&lt;&gt;1,"",IF(COUNT(AE30:AF30)&lt;2,"",AVERAGE(AE30:AF30)))</f>
        <v/>
      </c>
      <c r="AW30" s="25">
        <f>IF($C30&lt;&gt;1,"",IF(COUNT(AG30:AH30)&lt;2,"",AVERAGE(AG30:AH30)))</f>
        <v/>
      </c>
      <c r="AX30" s="25">
        <f>IF($C30&lt;&gt;1,"",IF(COUNT(AA30:AH30)&lt;8,"",AVERAGE(AA30:AH30)))</f>
        <v/>
      </c>
      <c r="AY30" s="25">
        <f>IF($C30&lt;&gt;1,"",IF(COUNT(AI30:AL30)&lt;4,"",AVERAGE(AI30:AL30)))</f>
        <v/>
      </c>
      <c r="AZ30" s="9">
        <f>IF($C30&lt;&gt;1,"",IF(OR(K30="",M30=""),"",IF(AND(OR(K30=3,K30=4),M30=3),1,0)))</f>
        <v/>
      </c>
      <c r="BA30" s="6" t="n">
        <v>1</v>
      </c>
      <c r="BB30" s="6" t="n"/>
    </row>
    <row r="31">
      <c r="A31" s="6" t="inlineStr">
        <is>
          <t>R030</t>
        </is>
      </c>
      <c r="B31" s="6" t="n">
        <v>31</v>
      </c>
      <c r="C31" s="6" t="n">
        <v>0</v>
      </c>
      <c r="D31" s="6" t="n">
        <v>2</v>
      </c>
      <c r="E31" s="6" t="n">
        <v>2</v>
      </c>
      <c r="F31" s="6" t="n">
        <v>24</v>
      </c>
      <c r="G31" s="6" t="n">
        <v>1</v>
      </c>
      <c r="H31" s="6" t="n"/>
      <c r="I31" s="6" t="n"/>
      <c r="J31" s="6" t="n">
        <v>2</v>
      </c>
      <c r="K31" s="6" t="n">
        <v>2</v>
      </c>
      <c r="L31" s="6" t="n"/>
      <c r="M31" s="6" t="n">
        <v>2</v>
      </c>
      <c r="N31" s="6" t="n">
        <v>2</v>
      </c>
      <c r="O31" s="6" t="n">
        <v>4</v>
      </c>
      <c r="P31" s="6" t="n">
        <v>4</v>
      </c>
      <c r="Q31" s="6" t="n">
        <v>4</v>
      </c>
      <c r="R31" s="6" t="n">
        <v>4</v>
      </c>
      <c r="S31" s="6" t="n">
        <v>4</v>
      </c>
      <c r="T31" s="6" t="n">
        <v>4</v>
      </c>
      <c r="U31" s="6" t="n">
        <v>4</v>
      </c>
      <c r="V31" s="6" t="n">
        <v>4</v>
      </c>
      <c r="W31" s="6" t="n">
        <v>4</v>
      </c>
      <c r="X31" s="6" t="n">
        <v>4</v>
      </c>
      <c r="Y31" s="6" t="n">
        <v>4</v>
      </c>
      <c r="Z31" s="6" t="n">
        <v>4</v>
      </c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25">
        <f>IF(COUNT(O31:V31)&lt;8,"",AVERAGE(O31:V31))</f>
        <v/>
      </c>
      <c r="AN31" s="25">
        <f>IF(COUNT(O31:O31)&lt;1,"",AVERAGE(O31:O31))</f>
        <v/>
      </c>
      <c r="AO31" s="25">
        <f>IF(COUNT(P31:P31)&lt;1,"",AVERAGE(P31:P31))</f>
        <v/>
      </c>
      <c r="AP31" s="25">
        <f>IF(COUNT(Q31:R31)&lt;2,"",AVERAGE(Q31:R31))</f>
        <v/>
      </c>
      <c r="AQ31" s="25">
        <f>IF(COUNT(S31:T31)&lt;2,"",AVERAGE(S31:T31))</f>
        <v/>
      </c>
      <c r="AR31" s="25">
        <f>IF(COUNT(U31:V31)&lt;2,"",AVERAGE(U31:V31))</f>
        <v/>
      </c>
      <c r="AS31" s="25">
        <f>IF(COUNT(W31:Z31)&lt;4,"",AVERAGE(W31:Z31))</f>
        <v/>
      </c>
      <c r="AT31" s="25">
        <f>IF($C31&lt;&gt;1,"",IF(COUNT(AA31:AB31)&lt;2,"",AVERAGE(AA31:AB31)))</f>
        <v/>
      </c>
      <c r="AU31" s="25">
        <f>IF($C31&lt;&gt;1,"",IF(COUNT(AC31:AD31)&lt;2,"",AVERAGE(AC31:AD31)))</f>
        <v/>
      </c>
      <c r="AV31" s="25">
        <f>IF($C31&lt;&gt;1,"",IF(COUNT(AE31:AF31)&lt;2,"",AVERAGE(AE31:AF31)))</f>
        <v/>
      </c>
      <c r="AW31" s="25">
        <f>IF($C31&lt;&gt;1,"",IF(COUNT(AG31:AH31)&lt;2,"",AVERAGE(AG31:AH31)))</f>
        <v/>
      </c>
      <c r="AX31" s="25">
        <f>IF($C31&lt;&gt;1,"",IF(COUNT(AA31:AH31)&lt;8,"",AVERAGE(AA31:AH31)))</f>
        <v/>
      </c>
      <c r="AY31" s="25">
        <f>IF($C31&lt;&gt;1,"",IF(COUNT(AI31:AL31)&lt;4,"",AVERAGE(AI31:AL31)))</f>
        <v/>
      </c>
      <c r="AZ31" s="9">
        <f>IF($C31&lt;&gt;1,"",IF(OR(K31="",M31=""),"",IF(AND(OR(K31=3,K31=4),M31=3),1,0)))</f>
        <v/>
      </c>
      <c r="BA31" s="6" t="n">
        <v>1</v>
      </c>
      <c r="BB31" s="6" t="n"/>
    </row>
    <row r="32">
      <c r="A32" s="6" t="inlineStr">
        <is>
          <t>R031</t>
        </is>
      </c>
      <c r="B32" s="6" t="n">
        <v>32</v>
      </c>
      <c r="C32" s="6" t="n">
        <v>1</v>
      </c>
      <c r="D32" s="6" t="n">
        <v>2</v>
      </c>
      <c r="E32" s="6" t="n">
        <v>1</v>
      </c>
      <c r="F32" s="6" t="n">
        <v>30</v>
      </c>
      <c r="G32" s="6" t="n">
        <v>4</v>
      </c>
      <c r="H32" s="6" t="n">
        <v>1</v>
      </c>
      <c r="I32" s="6" t="n"/>
      <c r="J32" s="6" t="n">
        <v>3</v>
      </c>
      <c r="K32" s="6" t="n">
        <v>2</v>
      </c>
      <c r="L32" s="6" t="n"/>
      <c r="M32" s="6" t="n">
        <v>2</v>
      </c>
      <c r="N32" s="6" t="n">
        <v>3</v>
      </c>
      <c r="O32" s="6" t="n">
        <v>4</v>
      </c>
      <c r="P32" s="6" t="n">
        <v>4</v>
      </c>
      <c r="Q32" s="6" t="n">
        <v>4</v>
      </c>
      <c r="R32" s="6" t="n">
        <v>4</v>
      </c>
      <c r="S32" s="6" t="n">
        <v>4</v>
      </c>
      <c r="T32" s="6" t="n">
        <v>4</v>
      </c>
      <c r="U32" s="6" t="n">
        <v>4</v>
      </c>
      <c r="V32" s="6" t="n">
        <v>4</v>
      </c>
      <c r="W32" s="6" t="n">
        <v>2</v>
      </c>
      <c r="X32" s="6" t="n">
        <v>2</v>
      </c>
      <c r="Y32" s="6" t="n">
        <v>2</v>
      </c>
      <c r="Z32" s="6" t="n">
        <v>2</v>
      </c>
      <c r="AA32" s="6" t="n">
        <v>4</v>
      </c>
      <c r="AB32" s="6" t="n">
        <v>4</v>
      </c>
      <c r="AC32" s="6" t="n">
        <v>4</v>
      </c>
      <c r="AD32" s="6" t="n">
        <v>4</v>
      </c>
      <c r="AE32" s="6" t="n">
        <v>2</v>
      </c>
      <c r="AF32" s="6" t="n">
        <v>2</v>
      </c>
      <c r="AG32" s="6" t="n">
        <v>4</v>
      </c>
      <c r="AH32" s="6" t="n">
        <v>3</v>
      </c>
      <c r="AI32" s="6" t="n">
        <v>1</v>
      </c>
      <c r="AJ32" s="6" t="n">
        <v>2</v>
      </c>
      <c r="AK32" s="6" t="n">
        <v>5</v>
      </c>
      <c r="AL32" s="6" t="n">
        <v>3</v>
      </c>
      <c r="AM32" s="25">
        <f>IF(COUNT(O32:V32)&lt;8,"",AVERAGE(O32:V32))</f>
        <v/>
      </c>
      <c r="AN32" s="25">
        <f>IF(COUNT(O32:O32)&lt;1,"",AVERAGE(O32:O32))</f>
        <v/>
      </c>
      <c r="AO32" s="25">
        <f>IF(COUNT(P32:P32)&lt;1,"",AVERAGE(P32:P32))</f>
        <v/>
      </c>
      <c r="AP32" s="25">
        <f>IF(COUNT(Q32:R32)&lt;2,"",AVERAGE(Q32:R32))</f>
        <v/>
      </c>
      <c r="AQ32" s="25">
        <f>IF(COUNT(S32:T32)&lt;2,"",AVERAGE(S32:T32))</f>
        <v/>
      </c>
      <c r="AR32" s="25">
        <f>IF(COUNT(U32:V32)&lt;2,"",AVERAGE(U32:V32))</f>
        <v/>
      </c>
      <c r="AS32" s="25">
        <f>IF(COUNT(W32:Z32)&lt;4,"",AVERAGE(W32:Z32))</f>
        <v/>
      </c>
      <c r="AT32" s="25">
        <f>IF($C32&lt;&gt;1,"",IF(COUNT(AA32:AB32)&lt;2,"",AVERAGE(AA32:AB32)))</f>
        <v/>
      </c>
      <c r="AU32" s="25">
        <f>IF($C32&lt;&gt;1,"",IF(COUNT(AC32:AD32)&lt;2,"",AVERAGE(AC32:AD32)))</f>
        <v/>
      </c>
      <c r="AV32" s="25">
        <f>IF($C32&lt;&gt;1,"",IF(COUNT(AE32:AF32)&lt;2,"",AVERAGE(AE32:AF32)))</f>
        <v/>
      </c>
      <c r="AW32" s="25">
        <f>IF($C32&lt;&gt;1,"",IF(COUNT(AG32:AH32)&lt;2,"",AVERAGE(AG32:AH32)))</f>
        <v/>
      </c>
      <c r="AX32" s="25">
        <f>IF($C32&lt;&gt;1,"",IF(COUNT(AA32:AH32)&lt;8,"",AVERAGE(AA32:AH32)))</f>
        <v/>
      </c>
      <c r="AY32" s="25">
        <f>IF($C32&lt;&gt;1,"",IF(COUNT(AI32:AL32)&lt;4,"",AVERAGE(AI32:AL32)))</f>
        <v/>
      </c>
      <c r="AZ32" s="9">
        <f>IF($C32&lt;&gt;1,"",IF(OR(K32="",M32=""),"",IF(AND(OR(K32=3,K32=4),M32=3),1,0)))</f>
        <v/>
      </c>
      <c r="BA32" s="6" t="n">
        <v>1</v>
      </c>
      <c r="BB32" s="6" t="n"/>
    </row>
    <row r="33">
      <c r="A33" s="6" t="inlineStr">
        <is>
          <t>R032</t>
        </is>
      </c>
      <c r="B33" s="6" t="n">
        <v>33</v>
      </c>
      <c r="C33" s="6" t="n">
        <v>0</v>
      </c>
      <c r="D33" s="6" t="n">
        <v>2</v>
      </c>
      <c r="E33" s="6" t="n">
        <v>1</v>
      </c>
      <c r="F33" s="6" t="n">
        <v>52</v>
      </c>
      <c r="G33" s="6" t="n">
        <v>28</v>
      </c>
      <c r="H33" s="6" t="n">
        <v>1</v>
      </c>
      <c r="I33" s="6" t="n"/>
      <c r="J33" s="6" t="n">
        <v>4</v>
      </c>
      <c r="K33" s="6" t="n">
        <v>3</v>
      </c>
      <c r="L33" s="6" t="n"/>
      <c r="M33" s="6" t="n">
        <v>4</v>
      </c>
      <c r="N33" s="6" t="n">
        <v>3</v>
      </c>
      <c r="O33" s="6" t="n">
        <v>3</v>
      </c>
      <c r="P33" s="6" t="n">
        <v>3</v>
      </c>
      <c r="Q33" s="6" t="n">
        <v>3</v>
      </c>
      <c r="R33" s="6" t="n">
        <v>3</v>
      </c>
      <c r="S33" s="6" t="n">
        <v>3</v>
      </c>
      <c r="T33" s="6" t="n">
        <v>3</v>
      </c>
      <c r="U33" s="6" t="n">
        <v>4</v>
      </c>
      <c r="V33" s="6" t="n">
        <v>3</v>
      </c>
      <c r="W33" s="6" t="n">
        <v>5</v>
      </c>
      <c r="X33" s="6" t="n">
        <v>4</v>
      </c>
      <c r="Y33" s="6" t="n">
        <v>5</v>
      </c>
      <c r="Z33" s="6" t="n">
        <v>5</v>
      </c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25">
        <f>IF(COUNT(O33:V33)&lt;8,"",AVERAGE(O33:V33))</f>
        <v/>
      </c>
      <c r="AN33" s="25">
        <f>IF(COUNT(O33:O33)&lt;1,"",AVERAGE(O33:O33))</f>
        <v/>
      </c>
      <c r="AO33" s="25">
        <f>IF(COUNT(P33:P33)&lt;1,"",AVERAGE(P33:P33))</f>
        <v/>
      </c>
      <c r="AP33" s="25">
        <f>IF(COUNT(Q33:R33)&lt;2,"",AVERAGE(Q33:R33))</f>
        <v/>
      </c>
      <c r="AQ33" s="25">
        <f>IF(COUNT(S33:T33)&lt;2,"",AVERAGE(S33:T33))</f>
        <v/>
      </c>
      <c r="AR33" s="25">
        <f>IF(COUNT(U33:V33)&lt;2,"",AVERAGE(U33:V33))</f>
        <v/>
      </c>
      <c r="AS33" s="25">
        <f>IF(COUNT(W33:Z33)&lt;4,"",AVERAGE(W33:Z33))</f>
        <v/>
      </c>
      <c r="AT33" s="25">
        <f>IF($C33&lt;&gt;1,"",IF(COUNT(AA33:AB33)&lt;2,"",AVERAGE(AA33:AB33)))</f>
        <v/>
      </c>
      <c r="AU33" s="25">
        <f>IF($C33&lt;&gt;1,"",IF(COUNT(AC33:AD33)&lt;2,"",AVERAGE(AC33:AD33)))</f>
        <v/>
      </c>
      <c r="AV33" s="25">
        <f>IF($C33&lt;&gt;1,"",IF(COUNT(AE33:AF33)&lt;2,"",AVERAGE(AE33:AF33)))</f>
        <v/>
      </c>
      <c r="AW33" s="25">
        <f>IF($C33&lt;&gt;1,"",IF(COUNT(AG33:AH33)&lt;2,"",AVERAGE(AG33:AH33)))</f>
        <v/>
      </c>
      <c r="AX33" s="25">
        <f>IF($C33&lt;&gt;1,"",IF(COUNT(AA33:AH33)&lt;8,"",AVERAGE(AA33:AH33)))</f>
        <v/>
      </c>
      <c r="AY33" s="25">
        <f>IF($C33&lt;&gt;1,"",IF(COUNT(AI33:AL33)&lt;4,"",AVERAGE(AI33:AL33)))</f>
        <v/>
      </c>
      <c r="AZ33" s="9">
        <f>IF($C33&lt;&gt;1,"",IF(OR(K33="",M33=""),"",IF(AND(OR(K33=3,K33=4),M33=3),1,0)))</f>
        <v/>
      </c>
      <c r="BA33" s="6" t="n">
        <v>1</v>
      </c>
      <c r="BB33" s="6" t="n"/>
    </row>
    <row r="34">
      <c r="A34" s="6" t="inlineStr">
        <is>
          <t>R033</t>
        </is>
      </c>
      <c r="B34" s="6" t="n">
        <v>34</v>
      </c>
      <c r="C34" s="6" t="n">
        <v>1</v>
      </c>
      <c r="D34" s="6" t="n">
        <v>1</v>
      </c>
      <c r="E34" s="6" t="n">
        <v>1</v>
      </c>
      <c r="F34" s="6" t="n">
        <v>51</v>
      </c>
      <c r="G34" s="6" t="n">
        <v>30</v>
      </c>
      <c r="H34" s="6" t="n">
        <v>3</v>
      </c>
      <c r="I34" s="6" t="n"/>
      <c r="J34" s="6" t="n">
        <v>3</v>
      </c>
      <c r="K34" s="6" t="n">
        <v>5</v>
      </c>
      <c r="L34" s="6" t="inlineStr">
        <is>
          <t>현장상주 미상주시 대체직원 상주</t>
        </is>
      </c>
      <c r="M34" s="6" t="n">
        <v>1</v>
      </c>
      <c r="N34" s="6" t="n">
        <v>1</v>
      </c>
      <c r="O34" s="6" t="n">
        <v>4</v>
      </c>
      <c r="P34" s="6" t="n">
        <v>4</v>
      </c>
      <c r="Q34" s="6" t="n">
        <v>4</v>
      </c>
      <c r="R34" s="6" t="n">
        <v>4</v>
      </c>
      <c r="S34" s="6" t="n">
        <v>4</v>
      </c>
      <c r="T34" s="6" t="n">
        <v>4</v>
      </c>
      <c r="U34" s="6" t="n">
        <v>4</v>
      </c>
      <c r="V34" s="6" t="n">
        <v>4</v>
      </c>
      <c r="W34" s="6" t="n">
        <v>4</v>
      </c>
      <c r="X34" s="6" t="n">
        <v>3</v>
      </c>
      <c r="Y34" s="6" t="n">
        <v>4</v>
      </c>
      <c r="Z34" s="6" t="n">
        <v>3</v>
      </c>
      <c r="AA34" s="6" t="n">
        <v>4</v>
      </c>
      <c r="AB34" s="6" t="n">
        <v>4</v>
      </c>
      <c r="AC34" s="6" t="n">
        <v>4</v>
      </c>
      <c r="AD34" s="6" t="n">
        <v>4</v>
      </c>
      <c r="AE34" s="6" t="n">
        <v>3</v>
      </c>
      <c r="AF34" s="6" t="n">
        <v>3</v>
      </c>
      <c r="AG34" s="6" t="n">
        <v>3</v>
      </c>
      <c r="AH34" s="6" t="n">
        <v>3</v>
      </c>
      <c r="AI34" s="6" t="n">
        <v>3</v>
      </c>
      <c r="AJ34" s="6" t="n">
        <v>3</v>
      </c>
      <c r="AK34" s="6" t="n">
        <v>4</v>
      </c>
      <c r="AL34" s="6" t="n">
        <v>3</v>
      </c>
      <c r="AM34" s="25">
        <f>IF(COUNT(O34:V34)&lt;8,"",AVERAGE(O34:V34))</f>
        <v/>
      </c>
      <c r="AN34" s="25">
        <f>IF(COUNT(O34:O34)&lt;1,"",AVERAGE(O34:O34))</f>
        <v/>
      </c>
      <c r="AO34" s="25">
        <f>IF(COUNT(P34:P34)&lt;1,"",AVERAGE(P34:P34))</f>
        <v/>
      </c>
      <c r="AP34" s="25">
        <f>IF(COUNT(Q34:R34)&lt;2,"",AVERAGE(Q34:R34))</f>
        <v/>
      </c>
      <c r="AQ34" s="25">
        <f>IF(COUNT(S34:T34)&lt;2,"",AVERAGE(S34:T34))</f>
        <v/>
      </c>
      <c r="AR34" s="25">
        <f>IF(COUNT(U34:V34)&lt;2,"",AVERAGE(U34:V34))</f>
        <v/>
      </c>
      <c r="AS34" s="25">
        <f>IF(COUNT(W34:Z34)&lt;4,"",AVERAGE(W34:Z34))</f>
        <v/>
      </c>
      <c r="AT34" s="25">
        <f>IF($C34&lt;&gt;1,"",IF(COUNT(AA34:AB34)&lt;2,"",AVERAGE(AA34:AB34)))</f>
        <v/>
      </c>
      <c r="AU34" s="25">
        <f>IF($C34&lt;&gt;1,"",IF(COUNT(AC34:AD34)&lt;2,"",AVERAGE(AC34:AD34)))</f>
        <v/>
      </c>
      <c r="AV34" s="25">
        <f>IF($C34&lt;&gt;1,"",IF(COUNT(AE34:AF34)&lt;2,"",AVERAGE(AE34:AF34)))</f>
        <v/>
      </c>
      <c r="AW34" s="25">
        <f>IF($C34&lt;&gt;1,"",IF(COUNT(AG34:AH34)&lt;2,"",AVERAGE(AG34:AH34)))</f>
        <v/>
      </c>
      <c r="AX34" s="25">
        <f>IF($C34&lt;&gt;1,"",IF(COUNT(AA34:AH34)&lt;8,"",AVERAGE(AA34:AH34)))</f>
        <v/>
      </c>
      <c r="AY34" s="25">
        <f>IF($C34&lt;&gt;1,"",IF(COUNT(AI34:AL34)&lt;4,"",AVERAGE(AI34:AL34)))</f>
        <v/>
      </c>
      <c r="AZ34" s="9">
        <f>IF($C34&lt;&gt;1,"",IF(OR(K34="",M34=""),"",IF(AND(OR(K34=3,K34=4),M34=3),1,0)))</f>
        <v/>
      </c>
      <c r="BA34" s="6" t="n">
        <v>1</v>
      </c>
      <c r="BB34" s="6" t="n"/>
    </row>
    <row r="35">
      <c r="A35" s="6" t="inlineStr">
        <is>
          <t>R034</t>
        </is>
      </c>
      <c r="B35" s="6" t="n">
        <v>35</v>
      </c>
      <c r="C35" s="6" t="n">
        <v>1</v>
      </c>
      <c r="D35" s="6" t="n">
        <v>1</v>
      </c>
      <c r="E35" s="6" t="n">
        <v>1</v>
      </c>
      <c r="F35" s="6" t="n">
        <v>58</v>
      </c>
      <c r="G35" s="6" t="n">
        <v>6</v>
      </c>
      <c r="H35" s="6" t="n">
        <v>2</v>
      </c>
      <c r="I35" s="6" t="n"/>
      <c r="J35" s="6" t="n">
        <v>3</v>
      </c>
      <c r="K35" s="6" t="n">
        <v>4</v>
      </c>
      <c r="L35" s="6" t="n"/>
      <c r="M35" s="6" t="n">
        <v>3</v>
      </c>
      <c r="N35" s="6" t="n">
        <v>1</v>
      </c>
      <c r="O35" s="6" t="n">
        <v>4</v>
      </c>
      <c r="P35" s="6" t="n">
        <v>4</v>
      </c>
      <c r="Q35" s="6" t="n">
        <v>4</v>
      </c>
      <c r="R35" s="6" t="n">
        <v>4</v>
      </c>
      <c r="S35" s="6" t="n">
        <v>4</v>
      </c>
      <c r="T35" s="6" t="n">
        <v>4</v>
      </c>
      <c r="U35" s="6" t="n">
        <v>4</v>
      </c>
      <c r="V35" s="6" t="n">
        <v>4</v>
      </c>
      <c r="W35" s="6" t="n">
        <v>2</v>
      </c>
      <c r="X35" s="6" t="n">
        <v>2</v>
      </c>
      <c r="Y35" s="6" t="n">
        <v>2</v>
      </c>
      <c r="Z35" s="6" t="n">
        <v>2</v>
      </c>
      <c r="AA35" s="6" t="n">
        <v>3</v>
      </c>
      <c r="AB35" s="6" t="n">
        <v>4</v>
      </c>
      <c r="AC35" s="6" t="n">
        <v>4</v>
      </c>
      <c r="AD35" s="6" t="n">
        <v>3</v>
      </c>
      <c r="AE35" s="6" t="n">
        <v>3</v>
      </c>
      <c r="AF35" s="6" t="n">
        <v>3</v>
      </c>
      <c r="AG35" s="6" t="n">
        <v>4</v>
      </c>
      <c r="AH35" s="6" t="n">
        <v>3</v>
      </c>
      <c r="AI35" s="6" t="n">
        <v>4</v>
      </c>
      <c r="AJ35" s="6" t="n">
        <v>4</v>
      </c>
      <c r="AK35" s="6" t="n">
        <v>4</v>
      </c>
      <c r="AL35" s="6" t="n">
        <v>4</v>
      </c>
      <c r="AM35" s="25">
        <f>IF(COUNT(O35:V35)&lt;8,"",AVERAGE(O35:V35))</f>
        <v/>
      </c>
      <c r="AN35" s="25">
        <f>IF(COUNT(O35:O35)&lt;1,"",AVERAGE(O35:O35))</f>
        <v/>
      </c>
      <c r="AO35" s="25">
        <f>IF(COUNT(P35:P35)&lt;1,"",AVERAGE(P35:P35))</f>
        <v/>
      </c>
      <c r="AP35" s="25">
        <f>IF(COUNT(Q35:R35)&lt;2,"",AVERAGE(Q35:R35))</f>
        <v/>
      </c>
      <c r="AQ35" s="25">
        <f>IF(COUNT(S35:T35)&lt;2,"",AVERAGE(S35:T35))</f>
        <v/>
      </c>
      <c r="AR35" s="25">
        <f>IF(COUNT(U35:V35)&lt;2,"",AVERAGE(U35:V35))</f>
        <v/>
      </c>
      <c r="AS35" s="25">
        <f>IF(COUNT(W35:Z35)&lt;4,"",AVERAGE(W35:Z35))</f>
        <v/>
      </c>
      <c r="AT35" s="25">
        <f>IF($C35&lt;&gt;1,"",IF(COUNT(AA35:AB35)&lt;2,"",AVERAGE(AA35:AB35)))</f>
        <v/>
      </c>
      <c r="AU35" s="25">
        <f>IF($C35&lt;&gt;1,"",IF(COUNT(AC35:AD35)&lt;2,"",AVERAGE(AC35:AD35)))</f>
        <v/>
      </c>
      <c r="AV35" s="25">
        <f>IF($C35&lt;&gt;1,"",IF(COUNT(AE35:AF35)&lt;2,"",AVERAGE(AE35:AF35)))</f>
        <v/>
      </c>
      <c r="AW35" s="25">
        <f>IF($C35&lt;&gt;1,"",IF(COUNT(AG35:AH35)&lt;2,"",AVERAGE(AG35:AH35)))</f>
        <v/>
      </c>
      <c r="AX35" s="25">
        <f>IF($C35&lt;&gt;1,"",IF(COUNT(AA35:AH35)&lt;8,"",AVERAGE(AA35:AH35)))</f>
        <v/>
      </c>
      <c r="AY35" s="25">
        <f>IF($C35&lt;&gt;1,"",IF(COUNT(AI35:AL35)&lt;4,"",AVERAGE(AI35:AL35)))</f>
        <v/>
      </c>
      <c r="AZ35" s="9">
        <f>IF($C35&lt;&gt;1,"",IF(OR(K35="",M35=""),"",IF(AND(OR(K35=3,K35=4),M35=3),1,0)))</f>
        <v/>
      </c>
      <c r="BA35" s="6" t="n">
        <v>1</v>
      </c>
      <c r="BB35" s="6" t="n"/>
    </row>
    <row r="36">
      <c r="A36" s="6" t="inlineStr">
        <is>
          <t>R035</t>
        </is>
      </c>
      <c r="B36" s="6" t="n">
        <v>36</v>
      </c>
      <c r="C36" s="6" t="n">
        <v>1</v>
      </c>
      <c r="D36" s="6" t="n">
        <v>1</v>
      </c>
      <c r="E36" s="6" t="n">
        <v>1</v>
      </c>
      <c r="F36" s="6" t="n">
        <v>46</v>
      </c>
      <c r="G36" s="6" t="n">
        <v>20</v>
      </c>
      <c r="H36" s="6" t="n">
        <v>3</v>
      </c>
      <c r="I36" s="6" t="n"/>
      <c r="J36" s="6" t="n">
        <v>4</v>
      </c>
      <c r="K36" s="6" t="n">
        <v>2</v>
      </c>
      <c r="L36" s="6" t="n"/>
      <c r="M36" s="6" t="n">
        <v>2</v>
      </c>
      <c r="N36" s="6" t="n">
        <v>2</v>
      </c>
      <c r="O36" s="6" t="n">
        <v>4</v>
      </c>
      <c r="P36" s="6" t="n">
        <v>4</v>
      </c>
      <c r="Q36" s="6" t="n">
        <v>3</v>
      </c>
      <c r="R36" s="6" t="n">
        <v>3</v>
      </c>
      <c r="S36" s="6" t="n">
        <v>3</v>
      </c>
      <c r="T36" s="6" t="n">
        <v>4</v>
      </c>
      <c r="U36" s="6" t="n">
        <v>4</v>
      </c>
      <c r="V36" s="6" t="n">
        <v>4</v>
      </c>
      <c r="W36" s="6" t="n">
        <v>4</v>
      </c>
      <c r="X36" s="6" t="n">
        <v>4</v>
      </c>
      <c r="Y36" s="6" t="n">
        <v>4</v>
      </c>
      <c r="Z36" s="6" t="n">
        <v>4</v>
      </c>
      <c r="AA36" s="6" t="n">
        <v>3</v>
      </c>
      <c r="AB36" s="6" t="n">
        <v>3</v>
      </c>
      <c r="AC36" s="6" t="n">
        <v>4</v>
      </c>
      <c r="AD36" s="6" t="n">
        <v>3</v>
      </c>
      <c r="AE36" s="6" t="n">
        <v>3</v>
      </c>
      <c r="AF36" s="6" t="n">
        <v>4</v>
      </c>
      <c r="AG36" s="6" t="n">
        <v>5</v>
      </c>
      <c r="AH36" s="6" t="n">
        <v>3</v>
      </c>
      <c r="AI36" s="6" t="n">
        <v>1</v>
      </c>
      <c r="AJ36" s="6" t="n">
        <v>2</v>
      </c>
      <c r="AK36" s="6" t="n">
        <v>4</v>
      </c>
      <c r="AL36" s="6" t="n">
        <v>5</v>
      </c>
      <c r="AM36" s="25">
        <f>IF(COUNT(O36:V36)&lt;8,"",AVERAGE(O36:V36))</f>
        <v/>
      </c>
      <c r="AN36" s="25">
        <f>IF(COUNT(O36:O36)&lt;1,"",AVERAGE(O36:O36))</f>
        <v/>
      </c>
      <c r="AO36" s="25">
        <f>IF(COUNT(P36:P36)&lt;1,"",AVERAGE(P36:P36))</f>
        <v/>
      </c>
      <c r="AP36" s="25">
        <f>IF(COUNT(Q36:R36)&lt;2,"",AVERAGE(Q36:R36))</f>
        <v/>
      </c>
      <c r="AQ36" s="25">
        <f>IF(COUNT(S36:T36)&lt;2,"",AVERAGE(S36:T36))</f>
        <v/>
      </c>
      <c r="AR36" s="25">
        <f>IF(COUNT(U36:V36)&lt;2,"",AVERAGE(U36:V36))</f>
        <v/>
      </c>
      <c r="AS36" s="25">
        <f>IF(COUNT(W36:Z36)&lt;4,"",AVERAGE(W36:Z36))</f>
        <v/>
      </c>
      <c r="AT36" s="25">
        <f>IF($C36&lt;&gt;1,"",IF(COUNT(AA36:AB36)&lt;2,"",AVERAGE(AA36:AB36)))</f>
        <v/>
      </c>
      <c r="AU36" s="25">
        <f>IF($C36&lt;&gt;1,"",IF(COUNT(AC36:AD36)&lt;2,"",AVERAGE(AC36:AD36)))</f>
        <v/>
      </c>
      <c r="AV36" s="25">
        <f>IF($C36&lt;&gt;1,"",IF(COUNT(AE36:AF36)&lt;2,"",AVERAGE(AE36:AF36)))</f>
        <v/>
      </c>
      <c r="AW36" s="25">
        <f>IF($C36&lt;&gt;1,"",IF(COUNT(AG36:AH36)&lt;2,"",AVERAGE(AG36:AH36)))</f>
        <v/>
      </c>
      <c r="AX36" s="25">
        <f>IF($C36&lt;&gt;1,"",IF(COUNT(AA36:AH36)&lt;8,"",AVERAGE(AA36:AH36)))</f>
        <v/>
      </c>
      <c r="AY36" s="25">
        <f>IF($C36&lt;&gt;1,"",IF(COUNT(AI36:AL36)&lt;4,"",AVERAGE(AI36:AL36)))</f>
        <v/>
      </c>
      <c r="AZ36" s="9">
        <f>IF($C36&lt;&gt;1,"",IF(OR(K36="",M36=""),"",IF(AND(OR(K36=3,K36=4),M36=3),1,0)))</f>
        <v/>
      </c>
      <c r="BA36" s="6" t="n">
        <v>1</v>
      </c>
      <c r="BB36" s="6" t="n"/>
    </row>
    <row r="37">
      <c r="A37" s="6" t="inlineStr">
        <is>
          <t>R036</t>
        </is>
      </c>
      <c r="B37" s="6" t="n">
        <v>37</v>
      </c>
      <c r="C37" s="6" t="n">
        <v>0</v>
      </c>
      <c r="D37" s="6" t="n">
        <v>2</v>
      </c>
      <c r="E37" s="6" t="n">
        <v>1</v>
      </c>
      <c r="F37" s="6" t="n">
        <v>60</v>
      </c>
      <c r="G37" s="6" t="n">
        <v>36</v>
      </c>
      <c r="H37" s="6" t="n">
        <v>1</v>
      </c>
      <c r="I37" s="6" t="n"/>
      <c r="J37" s="6" t="n">
        <v>4</v>
      </c>
      <c r="K37" s="6" t="n">
        <v>2</v>
      </c>
      <c r="L37" s="6" t="n"/>
      <c r="M37" s="6" t="n">
        <v>2</v>
      </c>
      <c r="N37" s="6" t="n">
        <v>2</v>
      </c>
      <c r="O37" s="6" t="n">
        <v>3</v>
      </c>
      <c r="P37" s="6" t="n">
        <v>3</v>
      </c>
      <c r="Q37" s="6" t="n">
        <v>2</v>
      </c>
      <c r="R37" s="6" t="n">
        <v>3</v>
      </c>
      <c r="S37" s="6" t="n">
        <v>2</v>
      </c>
      <c r="T37" s="6" t="n">
        <v>2</v>
      </c>
      <c r="U37" s="6" t="n">
        <v>3</v>
      </c>
      <c r="V37" s="6" t="n">
        <v>3</v>
      </c>
      <c r="W37" s="6" t="n">
        <v>2</v>
      </c>
      <c r="X37" s="6" t="n">
        <v>2</v>
      </c>
      <c r="Y37" s="6" t="n">
        <v>3</v>
      </c>
      <c r="Z37" s="6" t="n">
        <v>2</v>
      </c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25">
        <f>IF(COUNT(O37:V37)&lt;8,"",AVERAGE(O37:V37))</f>
        <v/>
      </c>
      <c r="AN37" s="25">
        <f>IF(COUNT(O37:O37)&lt;1,"",AVERAGE(O37:O37))</f>
        <v/>
      </c>
      <c r="AO37" s="25">
        <f>IF(COUNT(P37:P37)&lt;1,"",AVERAGE(P37:P37))</f>
        <v/>
      </c>
      <c r="AP37" s="25">
        <f>IF(COUNT(Q37:R37)&lt;2,"",AVERAGE(Q37:R37))</f>
        <v/>
      </c>
      <c r="AQ37" s="25">
        <f>IF(COUNT(S37:T37)&lt;2,"",AVERAGE(S37:T37))</f>
        <v/>
      </c>
      <c r="AR37" s="25">
        <f>IF(COUNT(U37:V37)&lt;2,"",AVERAGE(U37:V37))</f>
        <v/>
      </c>
      <c r="AS37" s="25">
        <f>IF(COUNT(W37:Z37)&lt;4,"",AVERAGE(W37:Z37))</f>
        <v/>
      </c>
      <c r="AT37" s="25">
        <f>IF($C37&lt;&gt;1,"",IF(COUNT(AA37:AB37)&lt;2,"",AVERAGE(AA37:AB37)))</f>
        <v/>
      </c>
      <c r="AU37" s="25">
        <f>IF($C37&lt;&gt;1,"",IF(COUNT(AC37:AD37)&lt;2,"",AVERAGE(AC37:AD37)))</f>
        <v/>
      </c>
      <c r="AV37" s="25">
        <f>IF($C37&lt;&gt;1,"",IF(COUNT(AE37:AF37)&lt;2,"",AVERAGE(AE37:AF37)))</f>
        <v/>
      </c>
      <c r="AW37" s="25">
        <f>IF($C37&lt;&gt;1,"",IF(COUNT(AG37:AH37)&lt;2,"",AVERAGE(AG37:AH37)))</f>
        <v/>
      </c>
      <c r="AX37" s="25">
        <f>IF($C37&lt;&gt;1,"",IF(COUNT(AA37:AH37)&lt;8,"",AVERAGE(AA37:AH37)))</f>
        <v/>
      </c>
      <c r="AY37" s="25">
        <f>IF($C37&lt;&gt;1,"",IF(COUNT(AI37:AL37)&lt;4,"",AVERAGE(AI37:AL37)))</f>
        <v/>
      </c>
      <c r="AZ37" s="9">
        <f>IF($C37&lt;&gt;1,"",IF(OR(K37="",M37=""),"",IF(AND(OR(K37=3,K37=4),M37=3),1,0)))</f>
        <v/>
      </c>
      <c r="BA37" s="6" t="n">
        <v>1</v>
      </c>
      <c r="BB37" s="6" t="n"/>
    </row>
    <row r="38">
      <c r="A38" s="6" t="inlineStr">
        <is>
          <t>R037</t>
        </is>
      </c>
      <c r="B38" s="6" t="n">
        <v>38</v>
      </c>
      <c r="C38" s="6" t="n">
        <v>1</v>
      </c>
      <c r="D38" s="6" t="n">
        <v>2</v>
      </c>
      <c r="E38" s="6" t="n">
        <v>1</v>
      </c>
      <c r="F38" s="6" t="n">
        <v>56</v>
      </c>
      <c r="G38" s="6" t="n">
        <v>30</v>
      </c>
      <c r="H38" s="6" t="n">
        <v>4</v>
      </c>
      <c r="I38" s="6" t="inlineStr">
        <is>
          <t>사업관리(부장)</t>
        </is>
      </c>
      <c r="J38" s="6" t="n">
        <v>3</v>
      </c>
      <c r="K38" s="6" t="n">
        <v>4</v>
      </c>
      <c r="L38" s="6" t="n"/>
      <c r="M38" s="6" t="n">
        <v>3</v>
      </c>
      <c r="N38" s="6" t="n">
        <v>1</v>
      </c>
      <c r="O38" s="6" t="n">
        <v>3</v>
      </c>
      <c r="P38" s="6" t="n">
        <v>5</v>
      </c>
      <c r="Q38" s="6" t="n">
        <v>3</v>
      </c>
      <c r="R38" s="6" t="n">
        <v>5</v>
      </c>
      <c r="S38" s="6" t="n">
        <v>4</v>
      </c>
      <c r="T38" s="6" t="n">
        <v>3</v>
      </c>
      <c r="U38" s="6" t="n">
        <v>5</v>
      </c>
      <c r="V38" s="6" t="n">
        <v>5</v>
      </c>
      <c r="W38" s="6" t="n">
        <v>2</v>
      </c>
      <c r="X38" s="6" t="n">
        <v>2</v>
      </c>
      <c r="Y38" s="6" t="n">
        <v>2</v>
      </c>
      <c r="Z38" s="6" t="n">
        <v>4</v>
      </c>
      <c r="AA38" s="6" t="n">
        <v>4</v>
      </c>
      <c r="AB38" s="6" t="n">
        <v>4</v>
      </c>
      <c r="AC38" s="6" t="n">
        <v>4</v>
      </c>
      <c r="AD38" s="6" t="n">
        <v>4</v>
      </c>
      <c r="AE38" s="6" t="n">
        <v>4</v>
      </c>
      <c r="AF38" s="6" t="n">
        <v>3</v>
      </c>
      <c r="AG38" s="6" t="n">
        <v>5</v>
      </c>
      <c r="AH38" s="6" t="n">
        <v>5</v>
      </c>
      <c r="AI38" s="6" t="n">
        <v>5</v>
      </c>
      <c r="AJ38" s="6" t="n">
        <v>5</v>
      </c>
      <c r="AK38" s="6" t="n">
        <v>5</v>
      </c>
      <c r="AL38" s="6" t="n">
        <v>5</v>
      </c>
      <c r="AM38" s="25">
        <f>IF(COUNT(O38:V38)&lt;8,"",AVERAGE(O38:V38))</f>
        <v/>
      </c>
      <c r="AN38" s="25">
        <f>IF(COUNT(O38:O38)&lt;1,"",AVERAGE(O38:O38))</f>
        <v/>
      </c>
      <c r="AO38" s="25">
        <f>IF(COUNT(P38:P38)&lt;1,"",AVERAGE(P38:P38))</f>
        <v/>
      </c>
      <c r="AP38" s="25">
        <f>IF(COUNT(Q38:R38)&lt;2,"",AVERAGE(Q38:R38))</f>
        <v/>
      </c>
      <c r="AQ38" s="25">
        <f>IF(COUNT(S38:T38)&lt;2,"",AVERAGE(S38:T38))</f>
        <v/>
      </c>
      <c r="AR38" s="25">
        <f>IF(COUNT(U38:V38)&lt;2,"",AVERAGE(U38:V38))</f>
        <v/>
      </c>
      <c r="AS38" s="25">
        <f>IF(COUNT(W38:Z38)&lt;4,"",AVERAGE(W38:Z38))</f>
        <v/>
      </c>
      <c r="AT38" s="25">
        <f>IF($C38&lt;&gt;1,"",IF(COUNT(AA38:AB38)&lt;2,"",AVERAGE(AA38:AB38)))</f>
        <v/>
      </c>
      <c r="AU38" s="25">
        <f>IF($C38&lt;&gt;1,"",IF(COUNT(AC38:AD38)&lt;2,"",AVERAGE(AC38:AD38)))</f>
        <v/>
      </c>
      <c r="AV38" s="25">
        <f>IF($C38&lt;&gt;1,"",IF(COUNT(AE38:AF38)&lt;2,"",AVERAGE(AE38:AF38)))</f>
        <v/>
      </c>
      <c r="AW38" s="25">
        <f>IF($C38&lt;&gt;1,"",IF(COUNT(AG38:AH38)&lt;2,"",AVERAGE(AG38:AH38)))</f>
        <v/>
      </c>
      <c r="AX38" s="25">
        <f>IF($C38&lt;&gt;1,"",IF(COUNT(AA38:AH38)&lt;8,"",AVERAGE(AA38:AH38)))</f>
        <v/>
      </c>
      <c r="AY38" s="25">
        <f>IF($C38&lt;&gt;1,"",IF(COUNT(AI38:AL38)&lt;4,"",AVERAGE(AI38:AL38)))</f>
        <v/>
      </c>
      <c r="AZ38" s="9">
        <f>IF($C38&lt;&gt;1,"",IF(OR(K38="",M38=""),"",IF(AND(OR(K38=3,K38=4),M38=3),1,0)))</f>
        <v/>
      </c>
      <c r="BA38" s="6" t="n">
        <v>1</v>
      </c>
      <c r="BB38" s="6" t="n"/>
    </row>
    <row r="39">
      <c r="A39" s="6" t="inlineStr">
        <is>
          <t>R038</t>
        </is>
      </c>
      <c r="B39" s="6" t="n">
        <v>39</v>
      </c>
      <c r="C39" s="6" t="n">
        <v>0</v>
      </c>
      <c r="D39" s="6" t="n">
        <v>1</v>
      </c>
      <c r="E39" s="6" t="n">
        <v>1</v>
      </c>
      <c r="F39" s="6" t="n">
        <v>57</v>
      </c>
      <c r="G39" s="6" t="n">
        <v>32</v>
      </c>
      <c r="H39" s="6" t="n">
        <v>3</v>
      </c>
      <c r="I39" s="6" t="n"/>
      <c r="J39" s="6" t="n">
        <v>1</v>
      </c>
      <c r="K39" s="6" t="n">
        <v>5</v>
      </c>
      <c r="L39" s="6" t="inlineStr">
        <is>
          <t>현장상주 직접확인</t>
        </is>
      </c>
      <c r="M39" s="6" t="n">
        <v>2</v>
      </c>
      <c r="N39" s="6" t="n">
        <v>1</v>
      </c>
      <c r="O39" s="6" t="n">
        <v>5</v>
      </c>
      <c r="P39" s="6" t="n">
        <v>5</v>
      </c>
      <c r="Q39" s="6" t="n">
        <v>5</v>
      </c>
      <c r="R39" s="6" t="n">
        <v>5</v>
      </c>
      <c r="S39" s="6" t="n">
        <v>5</v>
      </c>
      <c r="T39" s="6" t="n">
        <v>5</v>
      </c>
      <c r="U39" s="6" t="n">
        <v>5</v>
      </c>
      <c r="V39" s="6" t="n">
        <v>5</v>
      </c>
      <c r="W39" s="6" t="n">
        <v>1</v>
      </c>
      <c r="X39" s="6" t="n">
        <v>1</v>
      </c>
      <c r="Y39" s="6" t="n">
        <v>1</v>
      </c>
      <c r="Z39" s="6" t="n">
        <v>1</v>
      </c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25">
        <f>IF(COUNT(O39:V39)&lt;8,"",AVERAGE(O39:V39))</f>
        <v/>
      </c>
      <c r="AN39" s="25">
        <f>IF(COUNT(O39:O39)&lt;1,"",AVERAGE(O39:O39))</f>
        <v/>
      </c>
      <c r="AO39" s="25">
        <f>IF(COUNT(P39:P39)&lt;1,"",AVERAGE(P39:P39))</f>
        <v/>
      </c>
      <c r="AP39" s="25">
        <f>IF(COUNT(Q39:R39)&lt;2,"",AVERAGE(Q39:R39))</f>
        <v/>
      </c>
      <c r="AQ39" s="25">
        <f>IF(COUNT(S39:T39)&lt;2,"",AVERAGE(S39:T39))</f>
        <v/>
      </c>
      <c r="AR39" s="25">
        <f>IF(COUNT(U39:V39)&lt;2,"",AVERAGE(U39:V39))</f>
        <v/>
      </c>
      <c r="AS39" s="25">
        <f>IF(COUNT(W39:Z39)&lt;4,"",AVERAGE(W39:Z39))</f>
        <v/>
      </c>
      <c r="AT39" s="25">
        <f>IF($C39&lt;&gt;1,"",IF(COUNT(AA39:AB39)&lt;2,"",AVERAGE(AA39:AB39)))</f>
        <v/>
      </c>
      <c r="AU39" s="25">
        <f>IF($C39&lt;&gt;1,"",IF(COUNT(AC39:AD39)&lt;2,"",AVERAGE(AC39:AD39)))</f>
        <v/>
      </c>
      <c r="AV39" s="25">
        <f>IF($C39&lt;&gt;1,"",IF(COUNT(AE39:AF39)&lt;2,"",AVERAGE(AE39:AF39)))</f>
        <v/>
      </c>
      <c r="AW39" s="25">
        <f>IF($C39&lt;&gt;1,"",IF(COUNT(AG39:AH39)&lt;2,"",AVERAGE(AG39:AH39)))</f>
        <v/>
      </c>
      <c r="AX39" s="25">
        <f>IF($C39&lt;&gt;1,"",IF(COUNT(AA39:AH39)&lt;8,"",AVERAGE(AA39:AH39)))</f>
        <v/>
      </c>
      <c r="AY39" s="25">
        <f>IF($C39&lt;&gt;1,"",IF(COUNT(AI39:AL39)&lt;4,"",AVERAGE(AI39:AL39)))</f>
        <v/>
      </c>
      <c r="AZ39" s="9">
        <f>IF($C39&lt;&gt;1,"",IF(OR(K39="",M39=""),"",IF(AND(OR(K39=3,K39=4),M39=3),1,0)))</f>
        <v/>
      </c>
      <c r="BA39" s="6" t="n">
        <v>1</v>
      </c>
      <c r="BB39" s="6" t="n"/>
    </row>
    <row r="40">
      <c r="A40" s="6" t="inlineStr">
        <is>
          <t>R039</t>
        </is>
      </c>
      <c r="B40" s="6" t="n">
        <v>40</v>
      </c>
      <c r="C40" s="6" t="n">
        <v>0</v>
      </c>
      <c r="D40" s="6" t="n">
        <v>2</v>
      </c>
      <c r="E40" s="6" t="n">
        <v>1</v>
      </c>
      <c r="F40" s="6" t="n">
        <v>55</v>
      </c>
      <c r="G40" s="6" t="n">
        <v>25</v>
      </c>
      <c r="H40" s="6" t="n">
        <v>4</v>
      </c>
      <c r="I40" s="6" t="inlineStr">
        <is>
          <t>기술사사무소</t>
        </is>
      </c>
      <c r="J40" s="6" t="n">
        <v>1</v>
      </c>
      <c r="K40" s="6" t="n">
        <v>1</v>
      </c>
      <c r="L40" s="6" t="n"/>
      <c r="M40" s="6" t="n">
        <v>2</v>
      </c>
      <c r="N40" s="6" t="n">
        <v>4</v>
      </c>
      <c r="O40" s="6" t="n">
        <v>3</v>
      </c>
      <c r="P40" s="6" t="n">
        <v>4</v>
      </c>
      <c r="Q40" s="6" t="n">
        <v>2</v>
      </c>
      <c r="R40" s="6" t="n">
        <v>2</v>
      </c>
      <c r="S40" s="6" t="n">
        <v>2</v>
      </c>
      <c r="T40" s="6" t="n">
        <v>3</v>
      </c>
      <c r="U40" s="6" t="n">
        <v>3</v>
      </c>
      <c r="V40" s="6" t="n">
        <v>3</v>
      </c>
      <c r="W40" s="6" t="n">
        <v>4</v>
      </c>
      <c r="X40" s="6" t="n">
        <v>4</v>
      </c>
      <c r="Y40" s="6" t="n">
        <v>4</v>
      </c>
      <c r="Z40" s="6" t="n">
        <v>5</v>
      </c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25">
        <f>IF(COUNT(O40:V40)&lt;8,"",AVERAGE(O40:V40))</f>
        <v/>
      </c>
      <c r="AN40" s="25">
        <f>IF(COUNT(O40:O40)&lt;1,"",AVERAGE(O40:O40))</f>
        <v/>
      </c>
      <c r="AO40" s="25">
        <f>IF(COUNT(P40:P40)&lt;1,"",AVERAGE(P40:P40))</f>
        <v/>
      </c>
      <c r="AP40" s="25">
        <f>IF(COUNT(Q40:R40)&lt;2,"",AVERAGE(Q40:R40))</f>
        <v/>
      </c>
      <c r="AQ40" s="25">
        <f>IF(COUNT(S40:T40)&lt;2,"",AVERAGE(S40:T40))</f>
        <v/>
      </c>
      <c r="AR40" s="25">
        <f>IF(COUNT(U40:V40)&lt;2,"",AVERAGE(U40:V40))</f>
        <v/>
      </c>
      <c r="AS40" s="25">
        <f>IF(COUNT(W40:Z40)&lt;4,"",AVERAGE(W40:Z40))</f>
        <v/>
      </c>
      <c r="AT40" s="25">
        <f>IF($C40&lt;&gt;1,"",IF(COUNT(AA40:AB40)&lt;2,"",AVERAGE(AA40:AB40)))</f>
        <v/>
      </c>
      <c r="AU40" s="25">
        <f>IF($C40&lt;&gt;1,"",IF(COUNT(AC40:AD40)&lt;2,"",AVERAGE(AC40:AD40)))</f>
        <v/>
      </c>
      <c r="AV40" s="25">
        <f>IF($C40&lt;&gt;1,"",IF(COUNT(AE40:AF40)&lt;2,"",AVERAGE(AE40:AF40)))</f>
        <v/>
      </c>
      <c r="AW40" s="25">
        <f>IF($C40&lt;&gt;1,"",IF(COUNT(AG40:AH40)&lt;2,"",AVERAGE(AG40:AH40)))</f>
        <v/>
      </c>
      <c r="AX40" s="25">
        <f>IF($C40&lt;&gt;1,"",IF(COUNT(AA40:AH40)&lt;8,"",AVERAGE(AA40:AH40)))</f>
        <v/>
      </c>
      <c r="AY40" s="25">
        <f>IF($C40&lt;&gt;1,"",IF(COUNT(AI40:AL40)&lt;4,"",AVERAGE(AI40:AL40)))</f>
        <v/>
      </c>
      <c r="AZ40" s="9">
        <f>IF($C40&lt;&gt;1,"",IF(OR(K40="",M40=""),"",IF(AND(OR(K40=3,K40=4),M40=3),1,0)))</f>
        <v/>
      </c>
      <c r="BA40" s="6" t="n">
        <v>1</v>
      </c>
      <c r="BB40" s="6" t="n"/>
    </row>
    <row r="41">
      <c r="A41" s="6" t="inlineStr">
        <is>
          <t>R040</t>
        </is>
      </c>
      <c r="B41" s="6" t="n">
        <v>41</v>
      </c>
      <c r="C41" s="6" t="n">
        <v>1</v>
      </c>
      <c r="D41" s="6" t="n">
        <v>1</v>
      </c>
      <c r="E41" s="6" t="n">
        <v>1</v>
      </c>
      <c r="F41" s="6" t="n">
        <v>59</v>
      </c>
      <c r="G41" s="6" t="n">
        <v>32</v>
      </c>
      <c r="H41" s="6" t="n">
        <v>3</v>
      </c>
      <c r="I41" s="6" t="n"/>
      <c r="J41" s="6" t="n">
        <v>3</v>
      </c>
      <c r="K41" s="6" t="n">
        <v>2</v>
      </c>
      <c r="L41" s="6" t="n"/>
      <c r="M41" s="6" t="n">
        <v>2</v>
      </c>
      <c r="N41" s="6" t="n">
        <v>1</v>
      </c>
      <c r="O41" s="6" t="n">
        <v>4</v>
      </c>
      <c r="P41" s="6" t="n">
        <v>5</v>
      </c>
      <c r="Q41" s="6" t="n">
        <v>4</v>
      </c>
      <c r="R41" s="6" t="n">
        <v>4</v>
      </c>
      <c r="S41" s="6" t="n">
        <v>4</v>
      </c>
      <c r="T41" s="6" t="n">
        <v>5</v>
      </c>
      <c r="U41" s="6" t="n">
        <v>5</v>
      </c>
      <c r="V41" s="6" t="n">
        <v>5</v>
      </c>
      <c r="W41" s="6" t="n">
        <v>4</v>
      </c>
      <c r="X41" s="6" t="n">
        <v>4</v>
      </c>
      <c r="Y41" s="6" t="n">
        <v>4</v>
      </c>
      <c r="Z41" s="6" t="n">
        <v>4</v>
      </c>
      <c r="AA41" s="6" t="n">
        <v>3</v>
      </c>
      <c r="AB41" s="6" t="n">
        <v>4</v>
      </c>
      <c r="AC41" s="6" t="n">
        <v>4</v>
      </c>
      <c r="AD41" s="6" t="n">
        <v>2</v>
      </c>
      <c r="AE41" s="6" t="n">
        <v>3</v>
      </c>
      <c r="AF41" s="6" t="n">
        <v>3</v>
      </c>
      <c r="AG41" s="6" t="n">
        <v>4</v>
      </c>
      <c r="AH41" s="6" t="n">
        <v>3</v>
      </c>
      <c r="AI41" s="6" t="n">
        <v>2</v>
      </c>
      <c r="AJ41" s="6" t="n">
        <v>2</v>
      </c>
      <c r="AK41" s="6" t="n">
        <v>3</v>
      </c>
      <c r="AL41" s="6" t="n">
        <v>2</v>
      </c>
      <c r="AM41" s="25">
        <f>IF(COUNT(O41:V41)&lt;8,"",AVERAGE(O41:V41))</f>
        <v/>
      </c>
      <c r="AN41" s="25">
        <f>IF(COUNT(O41:O41)&lt;1,"",AVERAGE(O41:O41))</f>
        <v/>
      </c>
      <c r="AO41" s="25">
        <f>IF(COUNT(P41:P41)&lt;1,"",AVERAGE(P41:P41))</f>
        <v/>
      </c>
      <c r="AP41" s="25">
        <f>IF(COUNT(Q41:R41)&lt;2,"",AVERAGE(Q41:R41))</f>
        <v/>
      </c>
      <c r="AQ41" s="25">
        <f>IF(COUNT(S41:T41)&lt;2,"",AVERAGE(S41:T41))</f>
        <v/>
      </c>
      <c r="AR41" s="25">
        <f>IF(COUNT(U41:V41)&lt;2,"",AVERAGE(U41:V41))</f>
        <v/>
      </c>
      <c r="AS41" s="25">
        <f>IF(COUNT(W41:Z41)&lt;4,"",AVERAGE(W41:Z41))</f>
        <v/>
      </c>
      <c r="AT41" s="25">
        <f>IF($C41&lt;&gt;1,"",IF(COUNT(AA41:AB41)&lt;2,"",AVERAGE(AA41:AB41)))</f>
        <v/>
      </c>
      <c r="AU41" s="25">
        <f>IF($C41&lt;&gt;1,"",IF(COUNT(AC41:AD41)&lt;2,"",AVERAGE(AC41:AD41)))</f>
        <v/>
      </c>
      <c r="AV41" s="25">
        <f>IF($C41&lt;&gt;1,"",IF(COUNT(AE41:AF41)&lt;2,"",AVERAGE(AE41:AF41)))</f>
        <v/>
      </c>
      <c r="AW41" s="25">
        <f>IF($C41&lt;&gt;1,"",IF(COUNT(AG41:AH41)&lt;2,"",AVERAGE(AG41:AH41)))</f>
        <v/>
      </c>
      <c r="AX41" s="25">
        <f>IF($C41&lt;&gt;1,"",IF(COUNT(AA41:AH41)&lt;8,"",AVERAGE(AA41:AH41)))</f>
        <v/>
      </c>
      <c r="AY41" s="25">
        <f>IF($C41&lt;&gt;1,"",IF(COUNT(AI41:AL41)&lt;4,"",AVERAGE(AI41:AL41)))</f>
        <v/>
      </c>
      <c r="AZ41" s="9">
        <f>IF($C41&lt;&gt;1,"",IF(OR(K41="",M41=""),"",IF(AND(OR(K41=3,K41=4),M41=3),1,0)))</f>
        <v/>
      </c>
      <c r="BA41" s="6" t="n">
        <v>1</v>
      </c>
      <c r="BB41" s="6" t="n"/>
    </row>
    <row r="42">
      <c r="A42" s="6" t="inlineStr">
        <is>
          <t>R041</t>
        </is>
      </c>
      <c r="B42" s="6" t="n">
        <v>42</v>
      </c>
      <c r="C42" s="6" t="n">
        <v>0</v>
      </c>
      <c r="D42" s="6" t="n">
        <v>2</v>
      </c>
      <c r="E42" s="6" t="n">
        <v>1</v>
      </c>
      <c r="F42" s="6" t="n">
        <v>48</v>
      </c>
      <c r="G42" s="6" t="n">
        <v>14</v>
      </c>
      <c r="H42" s="6" t="n">
        <v>1</v>
      </c>
      <c r="I42" s="6" t="n"/>
      <c r="J42" s="6" t="n">
        <v>3</v>
      </c>
      <c r="K42" s="6" t="n">
        <v>2</v>
      </c>
      <c r="L42" s="6" t="n"/>
      <c r="M42" s="6" t="n">
        <v>3</v>
      </c>
      <c r="N42" s="6" t="n">
        <v>2</v>
      </c>
      <c r="O42" s="6" t="n">
        <v>4</v>
      </c>
      <c r="P42" s="6" t="n">
        <v>5</v>
      </c>
      <c r="Q42" s="6" t="n">
        <v>5</v>
      </c>
      <c r="R42" s="6" t="n">
        <v>5</v>
      </c>
      <c r="S42" s="6" t="n">
        <v>5</v>
      </c>
      <c r="T42" s="6" t="n">
        <v>5</v>
      </c>
      <c r="U42" s="6" t="n">
        <v>5</v>
      </c>
      <c r="V42" s="6" t="n">
        <v>5</v>
      </c>
      <c r="W42" s="6" t="n">
        <v>2</v>
      </c>
      <c r="X42" s="6" t="n">
        <v>3</v>
      </c>
      <c r="Y42" s="6" t="n">
        <v>3</v>
      </c>
      <c r="Z42" s="6" t="n">
        <v>3</v>
      </c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25">
        <f>IF(COUNT(O42:V42)&lt;8,"",AVERAGE(O42:V42))</f>
        <v/>
      </c>
      <c r="AN42" s="25">
        <f>IF(COUNT(O42:O42)&lt;1,"",AVERAGE(O42:O42))</f>
        <v/>
      </c>
      <c r="AO42" s="25">
        <f>IF(COUNT(P42:P42)&lt;1,"",AVERAGE(P42:P42))</f>
        <v/>
      </c>
      <c r="AP42" s="25">
        <f>IF(COUNT(Q42:R42)&lt;2,"",AVERAGE(Q42:R42))</f>
        <v/>
      </c>
      <c r="AQ42" s="25">
        <f>IF(COUNT(S42:T42)&lt;2,"",AVERAGE(S42:T42))</f>
        <v/>
      </c>
      <c r="AR42" s="25">
        <f>IF(COUNT(U42:V42)&lt;2,"",AVERAGE(U42:V42))</f>
        <v/>
      </c>
      <c r="AS42" s="25">
        <f>IF(COUNT(W42:Z42)&lt;4,"",AVERAGE(W42:Z42))</f>
        <v/>
      </c>
      <c r="AT42" s="25">
        <f>IF($C42&lt;&gt;1,"",IF(COUNT(AA42:AB42)&lt;2,"",AVERAGE(AA42:AB42)))</f>
        <v/>
      </c>
      <c r="AU42" s="25">
        <f>IF($C42&lt;&gt;1,"",IF(COUNT(AC42:AD42)&lt;2,"",AVERAGE(AC42:AD42)))</f>
        <v/>
      </c>
      <c r="AV42" s="25">
        <f>IF($C42&lt;&gt;1,"",IF(COUNT(AE42:AF42)&lt;2,"",AVERAGE(AE42:AF42)))</f>
        <v/>
      </c>
      <c r="AW42" s="25">
        <f>IF($C42&lt;&gt;1,"",IF(COUNT(AG42:AH42)&lt;2,"",AVERAGE(AG42:AH42)))</f>
        <v/>
      </c>
      <c r="AX42" s="25">
        <f>IF($C42&lt;&gt;1,"",IF(COUNT(AA42:AH42)&lt;8,"",AVERAGE(AA42:AH42)))</f>
        <v/>
      </c>
      <c r="AY42" s="25">
        <f>IF($C42&lt;&gt;1,"",IF(COUNT(AI42:AL42)&lt;4,"",AVERAGE(AI42:AL42)))</f>
        <v/>
      </c>
      <c r="AZ42" s="9">
        <f>IF($C42&lt;&gt;1,"",IF(OR(K42="",M42=""),"",IF(AND(OR(K42=3,K42=4),M42=3),1,0)))</f>
        <v/>
      </c>
      <c r="BA42" s="6" t="n">
        <v>1</v>
      </c>
      <c r="BB42" s="6" t="n"/>
    </row>
    <row r="43">
      <c r="A43" s="6" t="inlineStr">
        <is>
          <t>R042</t>
        </is>
      </c>
      <c r="B43" s="6" t="n">
        <v>43</v>
      </c>
      <c r="C43" s="6" t="n">
        <v>0</v>
      </c>
      <c r="D43" s="6" t="n">
        <v>1</v>
      </c>
      <c r="E43" s="6" t="n">
        <v>1</v>
      </c>
      <c r="F43" s="6" t="n">
        <v>48</v>
      </c>
      <c r="G43" s="6" t="n">
        <v>20</v>
      </c>
      <c r="H43" s="6" t="n">
        <v>3</v>
      </c>
      <c r="I43" s="6" t="n"/>
      <c r="J43" s="6" t="n">
        <v>2</v>
      </c>
      <c r="K43" s="6" t="n">
        <v>2</v>
      </c>
      <c r="L43" s="6" t="n"/>
      <c r="M43" s="6" t="n">
        <v>2</v>
      </c>
      <c r="N43" s="6" t="n">
        <v>2</v>
      </c>
      <c r="O43" s="6" t="n">
        <v>4</v>
      </c>
      <c r="P43" s="6" t="n">
        <v>5</v>
      </c>
      <c r="Q43" s="6" t="n">
        <v>4</v>
      </c>
      <c r="R43" s="6" t="n">
        <v>4</v>
      </c>
      <c r="S43" s="6" t="n">
        <v>4</v>
      </c>
      <c r="T43" s="6" t="n">
        <v>4</v>
      </c>
      <c r="U43" s="6" t="n">
        <v>4</v>
      </c>
      <c r="V43" s="6" t="n">
        <v>4</v>
      </c>
      <c r="W43" s="6" t="n">
        <v>4</v>
      </c>
      <c r="X43" s="6" t="n">
        <v>4</v>
      </c>
      <c r="Y43" s="6" t="n">
        <v>4</v>
      </c>
      <c r="Z43" s="6" t="n">
        <v>4</v>
      </c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25">
        <f>IF(COUNT(O43:V43)&lt;8,"",AVERAGE(O43:V43))</f>
        <v/>
      </c>
      <c r="AN43" s="25">
        <f>IF(COUNT(O43:O43)&lt;1,"",AVERAGE(O43:O43))</f>
        <v/>
      </c>
      <c r="AO43" s="25">
        <f>IF(COUNT(P43:P43)&lt;1,"",AVERAGE(P43:P43))</f>
        <v/>
      </c>
      <c r="AP43" s="25">
        <f>IF(COUNT(Q43:R43)&lt;2,"",AVERAGE(Q43:R43))</f>
        <v/>
      </c>
      <c r="AQ43" s="25">
        <f>IF(COUNT(S43:T43)&lt;2,"",AVERAGE(S43:T43))</f>
        <v/>
      </c>
      <c r="AR43" s="25">
        <f>IF(COUNT(U43:V43)&lt;2,"",AVERAGE(U43:V43))</f>
        <v/>
      </c>
      <c r="AS43" s="25">
        <f>IF(COUNT(W43:Z43)&lt;4,"",AVERAGE(W43:Z43))</f>
        <v/>
      </c>
      <c r="AT43" s="25">
        <f>IF($C43&lt;&gt;1,"",IF(COUNT(AA43:AB43)&lt;2,"",AVERAGE(AA43:AB43)))</f>
        <v/>
      </c>
      <c r="AU43" s="25">
        <f>IF($C43&lt;&gt;1,"",IF(COUNT(AC43:AD43)&lt;2,"",AVERAGE(AC43:AD43)))</f>
        <v/>
      </c>
      <c r="AV43" s="25">
        <f>IF($C43&lt;&gt;1,"",IF(COUNT(AE43:AF43)&lt;2,"",AVERAGE(AE43:AF43)))</f>
        <v/>
      </c>
      <c r="AW43" s="25">
        <f>IF($C43&lt;&gt;1,"",IF(COUNT(AG43:AH43)&lt;2,"",AVERAGE(AG43:AH43)))</f>
        <v/>
      </c>
      <c r="AX43" s="25">
        <f>IF($C43&lt;&gt;1,"",IF(COUNT(AA43:AH43)&lt;8,"",AVERAGE(AA43:AH43)))</f>
        <v/>
      </c>
      <c r="AY43" s="25">
        <f>IF($C43&lt;&gt;1,"",IF(COUNT(AI43:AL43)&lt;4,"",AVERAGE(AI43:AL43)))</f>
        <v/>
      </c>
      <c r="AZ43" s="9">
        <f>IF($C43&lt;&gt;1,"",IF(OR(K43="",M43=""),"",IF(AND(OR(K43=3,K43=4),M43=3),1,0)))</f>
        <v/>
      </c>
      <c r="BA43" s="6" t="n">
        <v>1</v>
      </c>
      <c r="BB43" s="6" t="n"/>
    </row>
    <row r="44">
      <c r="A44" s="6" t="inlineStr">
        <is>
          <t>R043</t>
        </is>
      </c>
      <c r="B44" s="6" t="n">
        <v>44</v>
      </c>
      <c r="C44" s="6" t="n">
        <v>0</v>
      </c>
      <c r="D44" s="6" t="n">
        <v>1</v>
      </c>
      <c r="E44" s="6" t="n">
        <v>1</v>
      </c>
      <c r="F44" s="6" t="n">
        <v>44</v>
      </c>
      <c r="G44" s="6" t="n">
        <v>17</v>
      </c>
      <c r="H44" s="6" t="n">
        <v>1</v>
      </c>
      <c r="I44" s="6" t="n"/>
      <c r="J44" s="6" t="n">
        <v>4</v>
      </c>
      <c r="K44" s="6" t="n">
        <v>2</v>
      </c>
      <c r="L44" s="6" t="n"/>
      <c r="M44" s="6" t="n">
        <v>2</v>
      </c>
      <c r="N44" s="6" t="n">
        <v>2</v>
      </c>
      <c r="O44" s="6" t="n">
        <v>3</v>
      </c>
      <c r="P44" s="6" t="n">
        <v>3</v>
      </c>
      <c r="Q44" s="6" t="n">
        <v>3</v>
      </c>
      <c r="R44" s="6" t="n">
        <v>3</v>
      </c>
      <c r="S44" s="6" t="n">
        <v>3</v>
      </c>
      <c r="T44" s="6" t="n">
        <v>2</v>
      </c>
      <c r="U44" s="6" t="n">
        <v>4</v>
      </c>
      <c r="V44" s="6" t="n">
        <v>3</v>
      </c>
      <c r="W44" s="6" t="n">
        <v>3</v>
      </c>
      <c r="X44" s="6" t="n">
        <v>3</v>
      </c>
      <c r="Y44" s="6" t="n">
        <v>3</v>
      </c>
      <c r="Z44" s="6" t="n">
        <v>4</v>
      </c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25">
        <f>IF(COUNT(O44:V44)&lt;8,"",AVERAGE(O44:V44))</f>
        <v/>
      </c>
      <c r="AN44" s="25">
        <f>IF(COUNT(O44:O44)&lt;1,"",AVERAGE(O44:O44))</f>
        <v/>
      </c>
      <c r="AO44" s="25">
        <f>IF(COUNT(P44:P44)&lt;1,"",AVERAGE(P44:P44))</f>
        <v/>
      </c>
      <c r="AP44" s="25">
        <f>IF(COUNT(Q44:R44)&lt;2,"",AVERAGE(Q44:R44))</f>
        <v/>
      </c>
      <c r="AQ44" s="25">
        <f>IF(COUNT(S44:T44)&lt;2,"",AVERAGE(S44:T44))</f>
        <v/>
      </c>
      <c r="AR44" s="25">
        <f>IF(COUNT(U44:V44)&lt;2,"",AVERAGE(U44:V44))</f>
        <v/>
      </c>
      <c r="AS44" s="25">
        <f>IF(COUNT(W44:Z44)&lt;4,"",AVERAGE(W44:Z44))</f>
        <v/>
      </c>
      <c r="AT44" s="25">
        <f>IF($C44&lt;&gt;1,"",IF(COUNT(AA44:AB44)&lt;2,"",AVERAGE(AA44:AB44)))</f>
        <v/>
      </c>
      <c r="AU44" s="25">
        <f>IF($C44&lt;&gt;1,"",IF(COUNT(AC44:AD44)&lt;2,"",AVERAGE(AC44:AD44)))</f>
        <v/>
      </c>
      <c r="AV44" s="25">
        <f>IF($C44&lt;&gt;1,"",IF(COUNT(AE44:AF44)&lt;2,"",AVERAGE(AE44:AF44)))</f>
        <v/>
      </c>
      <c r="AW44" s="25">
        <f>IF($C44&lt;&gt;1,"",IF(COUNT(AG44:AH44)&lt;2,"",AVERAGE(AG44:AH44)))</f>
        <v/>
      </c>
      <c r="AX44" s="25">
        <f>IF($C44&lt;&gt;1,"",IF(COUNT(AA44:AH44)&lt;8,"",AVERAGE(AA44:AH44)))</f>
        <v/>
      </c>
      <c r="AY44" s="25">
        <f>IF($C44&lt;&gt;1,"",IF(COUNT(AI44:AL44)&lt;4,"",AVERAGE(AI44:AL44)))</f>
        <v/>
      </c>
      <c r="AZ44" s="9">
        <f>IF($C44&lt;&gt;1,"",IF(OR(K44="",M44=""),"",IF(AND(OR(K44=3,K44=4),M44=3),1,0)))</f>
        <v/>
      </c>
      <c r="BA44" s="6" t="n">
        <v>1</v>
      </c>
      <c r="BB44" s="6" t="n"/>
    </row>
    <row r="45">
      <c r="A45" s="6" t="inlineStr">
        <is>
          <t>R044</t>
        </is>
      </c>
      <c r="B45" s="6" t="n">
        <v>45</v>
      </c>
      <c r="C45" s="6" t="n">
        <v>0</v>
      </c>
      <c r="D45" s="6" t="n">
        <v>2</v>
      </c>
      <c r="E45" s="6" t="n">
        <v>2</v>
      </c>
      <c r="F45" s="6" t="n">
        <v>34</v>
      </c>
      <c r="G45" s="6" t="n">
        <v>8</v>
      </c>
      <c r="H45" s="6" t="n">
        <v>1</v>
      </c>
      <c r="I45" s="6" t="n"/>
      <c r="J45" s="6" t="n">
        <v>2</v>
      </c>
      <c r="K45" s="6" t="n">
        <v>2</v>
      </c>
      <c r="L45" s="6" t="n"/>
      <c r="M45" s="6" t="n">
        <v>4</v>
      </c>
      <c r="N45" s="6" t="n">
        <v>4</v>
      </c>
      <c r="O45" s="6" t="n">
        <v>3</v>
      </c>
      <c r="P45" s="6" t="n">
        <v>3</v>
      </c>
      <c r="Q45" s="6" t="n">
        <v>3</v>
      </c>
      <c r="R45" s="6" t="n">
        <v>3</v>
      </c>
      <c r="S45" s="6" t="n">
        <v>3</v>
      </c>
      <c r="T45" s="6" t="n">
        <v>2</v>
      </c>
      <c r="U45" s="6" t="n">
        <v>3</v>
      </c>
      <c r="V45" s="6" t="n">
        <v>3</v>
      </c>
      <c r="W45" s="6" t="n">
        <v>5</v>
      </c>
      <c r="X45" s="6" t="n">
        <v>5</v>
      </c>
      <c r="Y45" s="6" t="n">
        <v>5</v>
      </c>
      <c r="Z45" s="6" t="n">
        <v>5</v>
      </c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25">
        <f>IF(COUNT(O45:V45)&lt;8,"",AVERAGE(O45:V45))</f>
        <v/>
      </c>
      <c r="AN45" s="25">
        <f>IF(COUNT(O45:O45)&lt;1,"",AVERAGE(O45:O45))</f>
        <v/>
      </c>
      <c r="AO45" s="25">
        <f>IF(COUNT(P45:P45)&lt;1,"",AVERAGE(P45:P45))</f>
        <v/>
      </c>
      <c r="AP45" s="25">
        <f>IF(COUNT(Q45:R45)&lt;2,"",AVERAGE(Q45:R45))</f>
        <v/>
      </c>
      <c r="AQ45" s="25">
        <f>IF(COUNT(S45:T45)&lt;2,"",AVERAGE(S45:T45))</f>
        <v/>
      </c>
      <c r="AR45" s="25">
        <f>IF(COUNT(U45:V45)&lt;2,"",AVERAGE(U45:V45))</f>
        <v/>
      </c>
      <c r="AS45" s="25">
        <f>IF(COUNT(W45:Z45)&lt;4,"",AVERAGE(W45:Z45))</f>
        <v/>
      </c>
      <c r="AT45" s="25">
        <f>IF($C45&lt;&gt;1,"",IF(COUNT(AA45:AB45)&lt;2,"",AVERAGE(AA45:AB45)))</f>
        <v/>
      </c>
      <c r="AU45" s="25">
        <f>IF($C45&lt;&gt;1,"",IF(COUNT(AC45:AD45)&lt;2,"",AVERAGE(AC45:AD45)))</f>
        <v/>
      </c>
      <c r="AV45" s="25">
        <f>IF($C45&lt;&gt;1,"",IF(COUNT(AE45:AF45)&lt;2,"",AVERAGE(AE45:AF45)))</f>
        <v/>
      </c>
      <c r="AW45" s="25">
        <f>IF($C45&lt;&gt;1,"",IF(COUNT(AG45:AH45)&lt;2,"",AVERAGE(AG45:AH45)))</f>
        <v/>
      </c>
      <c r="AX45" s="25">
        <f>IF($C45&lt;&gt;1,"",IF(COUNT(AA45:AH45)&lt;8,"",AVERAGE(AA45:AH45)))</f>
        <v/>
      </c>
      <c r="AY45" s="25">
        <f>IF($C45&lt;&gt;1,"",IF(COUNT(AI45:AL45)&lt;4,"",AVERAGE(AI45:AL45)))</f>
        <v/>
      </c>
      <c r="AZ45" s="9">
        <f>IF($C45&lt;&gt;1,"",IF(OR(K45="",M45=""),"",IF(AND(OR(K45=3,K45=4),M45=3),1,0)))</f>
        <v/>
      </c>
      <c r="BA45" s="6" t="n">
        <v>1</v>
      </c>
      <c r="BB45" s="6" t="n"/>
    </row>
    <row r="46">
      <c r="A46" s="6" t="inlineStr">
        <is>
          <t>R045</t>
        </is>
      </c>
      <c r="B46" s="6" t="n">
        <v>46</v>
      </c>
      <c r="C46" s="6" t="n">
        <v>1</v>
      </c>
      <c r="D46" s="6" t="n">
        <v>1</v>
      </c>
      <c r="E46" s="6" t="n">
        <v>1</v>
      </c>
      <c r="F46" s="6" t="n">
        <v>33</v>
      </c>
      <c r="G46" s="6" t="n">
        <v>8</v>
      </c>
      <c r="H46" s="6" t="n">
        <v>2</v>
      </c>
      <c r="I46" s="6" t="n"/>
      <c r="J46" s="6" t="n">
        <v>3</v>
      </c>
      <c r="K46" s="6" t="n">
        <v>2</v>
      </c>
      <c r="L46" s="6" t="n"/>
      <c r="M46" s="6" t="n">
        <v>1</v>
      </c>
      <c r="N46" s="6" t="n">
        <v>1</v>
      </c>
      <c r="O46" s="6" t="n">
        <v>4</v>
      </c>
      <c r="P46" s="6" t="n">
        <v>4</v>
      </c>
      <c r="Q46" s="6" t="n">
        <v>4</v>
      </c>
      <c r="R46" s="6" t="n">
        <v>4</v>
      </c>
      <c r="S46" s="6" t="n">
        <v>5</v>
      </c>
      <c r="T46" s="6" t="n">
        <v>4</v>
      </c>
      <c r="U46" s="6" t="n">
        <v>5</v>
      </c>
      <c r="V46" s="6" t="n">
        <v>4</v>
      </c>
      <c r="W46" s="6" t="n">
        <v>4</v>
      </c>
      <c r="X46" s="6" t="n">
        <v>3</v>
      </c>
      <c r="Y46" s="6" t="n">
        <v>5</v>
      </c>
      <c r="Z46" s="6" t="n">
        <v>3</v>
      </c>
      <c r="AA46" s="6" t="n">
        <v>4</v>
      </c>
      <c r="AB46" s="6" t="n">
        <v>4</v>
      </c>
      <c r="AC46" s="6" t="n">
        <v>3</v>
      </c>
      <c r="AD46" s="6" t="n">
        <v>2</v>
      </c>
      <c r="AE46" s="6" t="n">
        <v>3</v>
      </c>
      <c r="AF46" s="6" t="n">
        <v>1</v>
      </c>
      <c r="AG46" s="6" t="n">
        <v>4</v>
      </c>
      <c r="AH46" s="6" t="n">
        <v>3</v>
      </c>
      <c r="AI46" s="6" t="n">
        <v>1</v>
      </c>
      <c r="AJ46" s="6" t="n">
        <v>1</v>
      </c>
      <c r="AK46" s="6" t="n">
        <v>4</v>
      </c>
      <c r="AL46" s="6" t="n">
        <v>1</v>
      </c>
      <c r="AM46" s="25">
        <f>IF(COUNT(O46:V46)&lt;8,"",AVERAGE(O46:V46))</f>
        <v/>
      </c>
      <c r="AN46" s="25">
        <f>IF(COUNT(O46:O46)&lt;1,"",AVERAGE(O46:O46))</f>
        <v/>
      </c>
      <c r="AO46" s="25">
        <f>IF(COUNT(P46:P46)&lt;1,"",AVERAGE(P46:P46))</f>
        <v/>
      </c>
      <c r="AP46" s="25">
        <f>IF(COUNT(Q46:R46)&lt;2,"",AVERAGE(Q46:R46))</f>
        <v/>
      </c>
      <c r="AQ46" s="25">
        <f>IF(COUNT(S46:T46)&lt;2,"",AVERAGE(S46:T46))</f>
        <v/>
      </c>
      <c r="AR46" s="25">
        <f>IF(COUNT(U46:V46)&lt;2,"",AVERAGE(U46:V46))</f>
        <v/>
      </c>
      <c r="AS46" s="25">
        <f>IF(COUNT(W46:Z46)&lt;4,"",AVERAGE(W46:Z46))</f>
        <v/>
      </c>
      <c r="AT46" s="25">
        <f>IF($C46&lt;&gt;1,"",IF(COUNT(AA46:AB46)&lt;2,"",AVERAGE(AA46:AB46)))</f>
        <v/>
      </c>
      <c r="AU46" s="25">
        <f>IF($C46&lt;&gt;1,"",IF(COUNT(AC46:AD46)&lt;2,"",AVERAGE(AC46:AD46)))</f>
        <v/>
      </c>
      <c r="AV46" s="25">
        <f>IF($C46&lt;&gt;1,"",IF(COUNT(AE46:AF46)&lt;2,"",AVERAGE(AE46:AF46)))</f>
        <v/>
      </c>
      <c r="AW46" s="25">
        <f>IF($C46&lt;&gt;1,"",IF(COUNT(AG46:AH46)&lt;2,"",AVERAGE(AG46:AH46)))</f>
        <v/>
      </c>
      <c r="AX46" s="25">
        <f>IF($C46&lt;&gt;1,"",IF(COUNT(AA46:AH46)&lt;8,"",AVERAGE(AA46:AH46)))</f>
        <v/>
      </c>
      <c r="AY46" s="25">
        <f>IF($C46&lt;&gt;1,"",IF(COUNT(AI46:AL46)&lt;4,"",AVERAGE(AI46:AL46)))</f>
        <v/>
      </c>
      <c r="AZ46" s="9">
        <f>IF($C46&lt;&gt;1,"",IF(OR(K46="",M46=""),"",IF(AND(OR(K46=3,K46=4),M46=3),1,0)))</f>
        <v/>
      </c>
      <c r="BA46" s="6" t="n">
        <v>1</v>
      </c>
      <c r="BB46" s="6" t="n"/>
    </row>
    <row r="47">
      <c r="A47" s="6" t="inlineStr">
        <is>
          <t>R046</t>
        </is>
      </c>
      <c r="B47" s="6" t="n">
        <v>47</v>
      </c>
      <c r="C47" s="6" t="n">
        <v>0</v>
      </c>
      <c r="D47" s="6" t="n">
        <v>1</v>
      </c>
      <c r="E47" s="6" t="n">
        <v>1</v>
      </c>
      <c r="F47" s="6" t="n">
        <v>45</v>
      </c>
      <c r="G47" s="6" t="n">
        <v>19</v>
      </c>
      <c r="H47" s="6" t="n">
        <v>1</v>
      </c>
      <c r="I47" s="6" t="n"/>
      <c r="J47" s="6" t="n">
        <v>4</v>
      </c>
      <c r="K47" s="6" t="n">
        <v>2</v>
      </c>
      <c r="L47" s="6" t="n"/>
      <c r="M47" s="6" t="n">
        <v>2</v>
      </c>
      <c r="N47" s="6" t="n">
        <v>1</v>
      </c>
      <c r="O47" s="6" t="n">
        <v>4</v>
      </c>
      <c r="P47" s="6" t="n">
        <v>4</v>
      </c>
      <c r="Q47" s="6" t="n">
        <v>5</v>
      </c>
      <c r="R47" s="6" t="n">
        <v>3</v>
      </c>
      <c r="S47" s="6" t="n">
        <v>2</v>
      </c>
      <c r="T47" s="6" t="n">
        <v>2</v>
      </c>
      <c r="U47" s="6" t="n">
        <v>4</v>
      </c>
      <c r="V47" s="6" t="n">
        <v>3</v>
      </c>
      <c r="W47" s="6" t="n">
        <v>4</v>
      </c>
      <c r="X47" s="6" t="n">
        <v>4</v>
      </c>
      <c r="Y47" s="6" t="n">
        <v>4</v>
      </c>
      <c r="Z47" s="6" t="n">
        <v>3</v>
      </c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25">
        <f>IF(COUNT(O47:V47)&lt;8,"",AVERAGE(O47:V47))</f>
        <v/>
      </c>
      <c r="AN47" s="25">
        <f>IF(COUNT(O47:O47)&lt;1,"",AVERAGE(O47:O47))</f>
        <v/>
      </c>
      <c r="AO47" s="25">
        <f>IF(COUNT(P47:P47)&lt;1,"",AVERAGE(P47:P47))</f>
        <v/>
      </c>
      <c r="AP47" s="25">
        <f>IF(COUNT(Q47:R47)&lt;2,"",AVERAGE(Q47:R47))</f>
        <v/>
      </c>
      <c r="AQ47" s="25">
        <f>IF(COUNT(S47:T47)&lt;2,"",AVERAGE(S47:T47))</f>
        <v/>
      </c>
      <c r="AR47" s="25">
        <f>IF(COUNT(U47:V47)&lt;2,"",AVERAGE(U47:V47))</f>
        <v/>
      </c>
      <c r="AS47" s="25">
        <f>IF(COUNT(W47:Z47)&lt;4,"",AVERAGE(W47:Z47))</f>
        <v/>
      </c>
      <c r="AT47" s="25">
        <f>IF($C47&lt;&gt;1,"",IF(COUNT(AA47:AB47)&lt;2,"",AVERAGE(AA47:AB47)))</f>
        <v/>
      </c>
      <c r="AU47" s="25">
        <f>IF($C47&lt;&gt;1,"",IF(COUNT(AC47:AD47)&lt;2,"",AVERAGE(AC47:AD47)))</f>
        <v/>
      </c>
      <c r="AV47" s="25">
        <f>IF($C47&lt;&gt;1,"",IF(COUNT(AE47:AF47)&lt;2,"",AVERAGE(AE47:AF47)))</f>
        <v/>
      </c>
      <c r="AW47" s="25">
        <f>IF($C47&lt;&gt;1,"",IF(COUNT(AG47:AH47)&lt;2,"",AVERAGE(AG47:AH47)))</f>
        <v/>
      </c>
      <c r="AX47" s="25">
        <f>IF($C47&lt;&gt;1,"",IF(COUNT(AA47:AH47)&lt;8,"",AVERAGE(AA47:AH47)))</f>
        <v/>
      </c>
      <c r="AY47" s="25">
        <f>IF($C47&lt;&gt;1,"",IF(COUNT(AI47:AL47)&lt;4,"",AVERAGE(AI47:AL47)))</f>
        <v/>
      </c>
      <c r="AZ47" s="9">
        <f>IF($C47&lt;&gt;1,"",IF(OR(K47="",M47=""),"",IF(AND(OR(K47=3,K47=4),M47=3),1,0)))</f>
        <v/>
      </c>
      <c r="BA47" s="6" t="n">
        <v>1</v>
      </c>
      <c r="BB47" s="6" t="n"/>
    </row>
    <row r="48">
      <c r="A48" s="6" t="inlineStr">
        <is>
          <t>R047</t>
        </is>
      </c>
      <c r="B48" s="6" t="n">
        <v>48</v>
      </c>
      <c r="C48" s="6" t="n">
        <v>0</v>
      </c>
      <c r="D48" s="6" t="n">
        <v>1</v>
      </c>
      <c r="E48" s="6" t="n">
        <v>1</v>
      </c>
      <c r="F48" s="6" t="n">
        <v>30</v>
      </c>
      <c r="G48" s="6" t="n">
        <v>5</v>
      </c>
      <c r="H48" s="6" t="n">
        <v>2</v>
      </c>
      <c r="I48" s="6" t="n"/>
      <c r="J48" s="6" t="n">
        <v>4</v>
      </c>
      <c r="K48" s="6" t="n">
        <v>3</v>
      </c>
      <c r="L48" s="6" t="n"/>
      <c r="M48" s="6" t="n">
        <v>2</v>
      </c>
      <c r="N48" s="6" t="n">
        <v>1</v>
      </c>
      <c r="O48" s="6" t="n">
        <v>4</v>
      </c>
      <c r="P48" s="6" t="n">
        <v>4</v>
      </c>
      <c r="Q48" s="6" t="n">
        <v>4</v>
      </c>
      <c r="R48" s="6" t="n">
        <v>4</v>
      </c>
      <c r="S48" s="6" t="n">
        <v>4</v>
      </c>
      <c r="T48" s="6" t="n">
        <v>4</v>
      </c>
      <c r="U48" s="6" t="n">
        <v>4</v>
      </c>
      <c r="V48" s="6" t="n">
        <v>4</v>
      </c>
      <c r="W48" s="6" t="n">
        <v>3</v>
      </c>
      <c r="X48" s="6" t="n">
        <v>3</v>
      </c>
      <c r="Y48" s="6" t="n">
        <v>3</v>
      </c>
      <c r="Z48" s="6" t="n">
        <v>3</v>
      </c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25">
        <f>IF(COUNT(O48:V48)&lt;8,"",AVERAGE(O48:V48))</f>
        <v/>
      </c>
      <c r="AN48" s="25">
        <f>IF(COUNT(O48:O48)&lt;1,"",AVERAGE(O48:O48))</f>
        <v/>
      </c>
      <c r="AO48" s="25">
        <f>IF(COUNT(P48:P48)&lt;1,"",AVERAGE(P48:P48))</f>
        <v/>
      </c>
      <c r="AP48" s="25">
        <f>IF(COUNT(Q48:R48)&lt;2,"",AVERAGE(Q48:R48))</f>
        <v/>
      </c>
      <c r="AQ48" s="25">
        <f>IF(COUNT(S48:T48)&lt;2,"",AVERAGE(S48:T48))</f>
        <v/>
      </c>
      <c r="AR48" s="25">
        <f>IF(COUNT(U48:V48)&lt;2,"",AVERAGE(U48:V48))</f>
        <v/>
      </c>
      <c r="AS48" s="25">
        <f>IF(COUNT(W48:Z48)&lt;4,"",AVERAGE(W48:Z48))</f>
        <v/>
      </c>
      <c r="AT48" s="25">
        <f>IF($C48&lt;&gt;1,"",IF(COUNT(AA48:AB48)&lt;2,"",AVERAGE(AA48:AB48)))</f>
        <v/>
      </c>
      <c r="AU48" s="25">
        <f>IF($C48&lt;&gt;1,"",IF(COUNT(AC48:AD48)&lt;2,"",AVERAGE(AC48:AD48)))</f>
        <v/>
      </c>
      <c r="AV48" s="25">
        <f>IF($C48&lt;&gt;1,"",IF(COUNT(AE48:AF48)&lt;2,"",AVERAGE(AE48:AF48)))</f>
        <v/>
      </c>
      <c r="AW48" s="25">
        <f>IF($C48&lt;&gt;1,"",IF(COUNT(AG48:AH48)&lt;2,"",AVERAGE(AG48:AH48)))</f>
        <v/>
      </c>
      <c r="AX48" s="25">
        <f>IF($C48&lt;&gt;1,"",IF(COUNT(AA48:AH48)&lt;8,"",AVERAGE(AA48:AH48)))</f>
        <v/>
      </c>
      <c r="AY48" s="25">
        <f>IF($C48&lt;&gt;1,"",IF(COUNT(AI48:AL48)&lt;4,"",AVERAGE(AI48:AL48)))</f>
        <v/>
      </c>
      <c r="AZ48" s="9">
        <f>IF($C48&lt;&gt;1,"",IF(OR(K48="",M48=""),"",IF(AND(OR(K48=3,K48=4),M48=3),1,0)))</f>
        <v/>
      </c>
      <c r="BA48" s="6" t="n">
        <v>1</v>
      </c>
      <c r="BB48" s="6" t="n"/>
    </row>
    <row r="49">
      <c r="A49" s="6" t="inlineStr">
        <is>
          <t>R048</t>
        </is>
      </c>
      <c r="B49" s="6" t="n">
        <v>49</v>
      </c>
      <c r="C49" s="6" t="n">
        <v>0</v>
      </c>
      <c r="D49" s="6" t="n">
        <v>1</v>
      </c>
      <c r="E49" s="6" t="n">
        <v>1</v>
      </c>
      <c r="F49" s="6" t="n">
        <v>55</v>
      </c>
      <c r="G49" s="6" t="n">
        <v>15</v>
      </c>
      <c r="H49" s="6" t="n">
        <v>2</v>
      </c>
      <c r="I49" s="6" t="n"/>
      <c r="J49" s="6" t="n">
        <v>3</v>
      </c>
      <c r="K49" s="6" t="n">
        <v>5</v>
      </c>
      <c r="L49" s="6" t="inlineStr">
        <is>
          <t>상주 근무자의 비상연락망 가동</t>
        </is>
      </c>
      <c r="M49" s="6" t="n">
        <v>2</v>
      </c>
      <c r="N49" s="6" t="n">
        <v>3</v>
      </c>
      <c r="O49" s="6" t="n">
        <v>4</v>
      </c>
      <c r="P49" s="6" t="n">
        <v>4</v>
      </c>
      <c r="Q49" s="6" t="n">
        <v>4</v>
      </c>
      <c r="R49" s="6" t="n">
        <v>4</v>
      </c>
      <c r="S49" s="6" t="n">
        <v>4</v>
      </c>
      <c r="T49" s="6" t="n">
        <v>2</v>
      </c>
      <c r="U49" s="6" t="n">
        <v>4</v>
      </c>
      <c r="V49" s="6" t="n">
        <v>4</v>
      </c>
      <c r="W49" s="6" t="n">
        <v>4</v>
      </c>
      <c r="X49" s="6" t="n">
        <v>5</v>
      </c>
      <c r="Y49" s="6" t="n">
        <v>5</v>
      </c>
      <c r="Z49" s="6" t="n">
        <v>5</v>
      </c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25">
        <f>IF(COUNT(O49:V49)&lt;8,"",AVERAGE(O49:V49))</f>
        <v/>
      </c>
      <c r="AN49" s="25">
        <f>IF(COUNT(O49:O49)&lt;1,"",AVERAGE(O49:O49))</f>
        <v/>
      </c>
      <c r="AO49" s="25">
        <f>IF(COUNT(P49:P49)&lt;1,"",AVERAGE(P49:P49))</f>
        <v/>
      </c>
      <c r="AP49" s="25">
        <f>IF(COUNT(Q49:R49)&lt;2,"",AVERAGE(Q49:R49))</f>
        <v/>
      </c>
      <c r="AQ49" s="25">
        <f>IF(COUNT(S49:T49)&lt;2,"",AVERAGE(S49:T49))</f>
        <v/>
      </c>
      <c r="AR49" s="25">
        <f>IF(COUNT(U49:V49)&lt;2,"",AVERAGE(U49:V49))</f>
        <v/>
      </c>
      <c r="AS49" s="25">
        <f>IF(COUNT(W49:Z49)&lt;4,"",AVERAGE(W49:Z49))</f>
        <v/>
      </c>
      <c r="AT49" s="25">
        <f>IF($C49&lt;&gt;1,"",IF(COUNT(AA49:AB49)&lt;2,"",AVERAGE(AA49:AB49)))</f>
        <v/>
      </c>
      <c r="AU49" s="25">
        <f>IF($C49&lt;&gt;1,"",IF(COUNT(AC49:AD49)&lt;2,"",AVERAGE(AC49:AD49)))</f>
        <v/>
      </c>
      <c r="AV49" s="25">
        <f>IF($C49&lt;&gt;1,"",IF(COUNT(AE49:AF49)&lt;2,"",AVERAGE(AE49:AF49)))</f>
        <v/>
      </c>
      <c r="AW49" s="25">
        <f>IF($C49&lt;&gt;1,"",IF(COUNT(AG49:AH49)&lt;2,"",AVERAGE(AG49:AH49)))</f>
        <v/>
      </c>
      <c r="AX49" s="25">
        <f>IF($C49&lt;&gt;1,"",IF(COUNT(AA49:AH49)&lt;8,"",AVERAGE(AA49:AH49)))</f>
        <v/>
      </c>
      <c r="AY49" s="25">
        <f>IF($C49&lt;&gt;1,"",IF(COUNT(AI49:AL49)&lt;4,"",AVERAGE(AI49:AL49)))</f>
        <v/>
      </c>
      <c r="AZ49" s="9">
        <f>IF($C49&lt;&gt;1,"",IF(OR(K49="",M49=""),"",IF(AND(OR(K49=3,K49=4),M49=3),1,0)))</f>
        <v/>
      </c>
      <c r="BA49" s="6" t="n">
        <v>1</v>
      </c>
      <c r="BB49" s="6" t="n"/>
    </row>
    <row r="50">
      <c r="A50" s="6" t="inlineStr">
        <is>
          <t>R049</t>
        </is>
      </c>
      <c r="B50" s="6" t="n">
        <v>50</v>
      </c>
      <c r="C50" s="6" t="n">
        <v>1</v>
      </c>
      <c r="D50" s="6" t="n">
        <v>1</v>
      </c>
      <c r="E50" s="6" t="n">
        <v>1</v>
      </c>
      <c r="F50" s="6" t="n">
        <v>63</v>
      </c>
      <c r="G50" s="6" t="n">
        <v>37</v>
      </c>
      <c r="H50" s="6" t="n">
        <v>3</v>
      </c>
      <c r="I50" s="6" t="n"/>
      <c r="J50" s="6" t="n">
        <v>2</v>
      </c>
      <c r="K50" s="6" t="n">
        <v>4</v>
      </c>
      <c r="L50" s="6" t="n"/>
      <c r="M50" s="6" t="n">
        <v>1</v>
      </c>
      <c r="N50" s="6" t="n">
        <v>3</v>
      </c>
      <c r="O50" s="6" t="n">
        <v>4</v>
      </c>
      <c r="P50" s="6" t="n">
        <v>4</v>
      </c>
      <c r="Q50" s="6" t="n">
        <v>4</v>
      </c>
      <c r="R50" s="6" t="n">
        <v>4</v>
      </c>
      <c r="S50" s="6" t="n">
        <v>3</v>
      </c>
      <c r="T50" s="6" t="n">
        <v>4</v>
      </c>
      <c r="U50" s="6" t="n">
        <v>4</v>
      </c>
      <c r="V50" s="6" t="n">
        <v>4</v>
      </c>
      <c r="W50" s="6" t="n">
        <v>5</v>
      </c>
      <c r="X50" s="6" t="n">
        <v>4</v>
      </c>
      <c r="Y50" s="6" t="n">
        <v>5</v>
      </c>
      <c r="Z50" s="6" t="n">
        <v>4</v>
      </c>
      <c r="AA50" s="6" t="n">
        <v>4</v>
      </c>
      <c r="AB50" s="6" t="n">
        <v>4</v>
      </c>
      <c r="AC50" s="6" t="n">
        <v>4</v>
      </c>
      <c r="AD50" s="6" t="n">
        <v>4</v>
      </c>
      <c r="AE50" s="6" t="n">
        <v>4</v>
      </c>
      <c r="AF50" s="6" t="n">
        <v>4</v>
      </c>
      <c r="AG50" s="6" t="n">
        <v>4</v>
      </c>
      <c r="AH50" s="6" t="n">
        <v>4</v>
      </c>
      <c r="AI50" s="6" t="n">
        <v>4</v>
      </c>
      <c r="AJ50" s="6" t="n">
        <v>4</v>
      </c>
      <c r="AK50" s="6" t="n">
        <v>4</v>
      </c>
      <c r="AL50" s="6" t="n">
        <v>4</v>
      </c>
      <c r="AM50" s="25">
        <f>IF(COUNT(O50:V50)&lt;8,"",AVERAGE(O50:V50))</f>
        <v/>
      </c>
      <c r="AN50" s="25">
        <f>IF(COUNT(O50:O50)&lt;1,"",AVERAGE(O50:O50))</f>
        <v/>
      </c>
      <c r="AO50" s="25">
        <f>IF(COUNT(P50:P50)&lt;1,"",AVERAGE(P50:P50))</f>
        <v/>
      </c>
      <c r="AP50" s="25">
        <f>IF(COUNT(Q50:R50)&lt;2,"",AVERAGE(Q50:R50))</f>
        <v/>
      </c>
      <c r="AQ50" s="25">
        <f>IF(COUNT(S50:T50)&lt;2,"",AVERAGE(S50:T50))</f>
        <v/>
      </c>
      <c r="AR50" s="25">
        <f>IF(COUNT(U50:V50)&lt;2,"",AVERAGE(U50:V50))</f>
        <v/>
      </c>
      <c r="AS50" s="25">
        <f>IF(COUNT(W50:Z50)&lt;4,"",AVERAGE(W50:Z50))</f>
        <v/>
      </c>
      <c r="AT50" s="25">
        <f>IF($C50&lt;&gt;1,"",IF(COUNT(AA50:AB50)&lt;2,"",AVERAGE(AA50:AB50)))</f>
        <v/>
      </c>
      <c r="AU50" s="25">
        <f>IF($C50&lt;&gt;1,"",IF(COUNT(AC50:AD50)&lt;2,"",AVERAGE(AC50:AD50)))</f>
        <v/>
      </c>
      <c r="AV50" s="25">
        <f>IF($C50&lt;&gt;1,"",IF(COUNT(AE50:AF50)&lt;2,"",AVERAGE(AE50:AF50)))</f>
        <v/>
      </c>
      <c r="AW50" s="25">
        <f>IF($C50&lt;&gt;1,"",IF(COUNT(AG50:AH50)&lt;2,"",AVERAGE(AG50:AH50)))</f>
        <v/>
      </c>
      <c r="AX50" s="25">
        <f>IF($C50&lt;&gt;1,"",IF(COUNT(AA50:AH50)&lt;8,"",AVERAGE(AA50:AH50)))</f>
        <v/>
      </c>
      <c r="AY50" s="25">
        <f>IF($C50&lt;&gt;1,"",IF(COUNT(AI50:AL50)&lt;4,"",AVERAGE(AI50:AL50)))</f>
        <v/>
      </c>
      <c r="AZ50" s="9">
        <f>IF($C50&lt;&gt;1,"",IF(OR(K50="",M50=""),"",IF(AND(OR(K50=3,K50=4),M50=3),1,0)))</f>
        <v/>
      </c>
      <c r="BA50" s="6" t="n">
        <v>1</v>
      </c>
      <c r="BB50" s="6" t="n"/>
    </row>
    <row r="51">
      <c r="A51" s="6" t="inlineStr">
        <is>
          <t>R050</t>
        </is>
      </c>
      <c r="B51" s="6" t="n">
        <v>51</v>
      </c>
      <c r="C51" s="6" t="n">
        <v>0</v>
      </c>
      <c r="D51" s="6" t="n">
        <v>1</v>
      </c>
      <c r="E51" s="6" t="n">
        <v>1</v>
      </c>
      <c r="F51" s="6" t="n">
        <v>37</v>
      </c>
      <c r="G51" s="6" t="n">
        <v>13</v>
      </c>
      <c r="H51" s="6" t="n">
        <v>3</v>
      </c>
      <c r="I51" s="6" t="n"/>
      <c r="J51" s="6" t="n">
        <v>2</v>
      </c>
      <c r="K51" s="6" t="n">
        <v>3</v>
      </c>
      <c r="L51" s="6" t="n"/>
      <c r="M51" s="6" t="n">
        <v>1</v>
      </c>
      <c r="N51" s="6" t="n">
        <v>2</v>
      </c>
      <c r="O51" s="6" t="n">
        <v>4</v>
      </c>
      <c r="P51" s="6" t="n">
        <v>4</v>
      </c>
      <c r="Q51" s="6" t="n">
        <v>4</v>
      </c>
      <c r="R51" s="6" t="n">
        <v>4</v>
      </c>
      <c r="S51" s="6" t="n">
        <v>4</v>
      </c>
      <c r="T51" s="6" t="n">
        <v>4</v>
      </c>
      <c r="U51" s="6" t="n">
        <v>4</v>
      </c>
      <c r="V51" s="6" t="n">
        <v>4</v>
      </c>
      <c r="W51" s="6" t="n">
        <v>4</v>
      </c>
      <c r="X51" s="6" t="n">
        <v>4</v>
      </c>
      <c r="Y51" s="6" t="n">
        <v>4</v>
      </c>
      <c r="Z51" s="6" t="n">
        <v>4</v>
      </c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25">
        <f>IF(COUNT(O51:V51)&lt;8,"",AVERAGE(O51:V51))</f>
        <v/>
      </c>
      <c r="AN51" s="25">
        <f>IF(COUNT(O51:O51)&lt;1,"",AVERAGE(O51:O51))</f>
        <v/>
      </c>
      <c r="AO51" s="25">
        <f>IF(COUNT(P51:P51)&lt;1,"",AVERAGE(P51:P51))</f>
        <v/>
      </c>
      <c r="AP51" s="25">
        <f>IF(COUNT(Q51:R51)&lt;2,"",AVERAGE(Q51:R51))</f>
        <v/>
      </c>
      <c r="AQ51" s="25">
        <f>IF(COUNT(S51:T51)&lt;2,"",AVERAGE(S51:T51))</f>
        <v/>
      </c>
      <c r="AR51" s="25">
        <f>IF(COUNT(U51:V51)&lt;2,"",AVERAGE(U51:V51))</f>
        <v/>
      </c>
      <c r="AS51" s="25">
        <f>IF(COUNT(W51:Z51)&lt;4,"",AVERAGE(W51:Z51))</f>
        <v/>
      </c>
      <c r="AT51" s="25">
        <f>IF($C51&lt;&gt;1,"",IF(COUNT(AA51:AB51)&lt;2,"",AVERAGE(AA51:AB51)))</f>
        <v/>
      </c>
      <c r="AU51" s="25">
        <f>IF($C51&lt;&gt;1,"",IF(COUNT(AC51:AD51)&lt;2,"",AVERAGE(AC51:AD51)))</f>
        <v/>
      </c>
      <c r="AV51" s="25">
        <f>IF($C51&lt;&gt;1,"",IF(COUNT(AE51:AF51)&lt;2,"",AVERAGE(AE51:AF51)))</f>
        <v/>
      </c>
      <c r="AW51" s="25">
        <f>IF($C51&lt;&gt;1,"",IF(COUNT(AG51:AH51)&lt;2,"",AVERAGE(AG51:AH51)))</f>
        <v/>
      </c>
      <c r="AX51" s="25">
        <f>IF($C51&lt;&gt;1,"",IF(COUNT(AA51:AH51)&lt;8,"",AVERAGE(AA51:AH51)))</f>
        <v/>
      </c>
      <c r="AY51" s="25">
        <f>IF($C51&lt;&gt;1,"",IF(COUNT(AI51:AL51)&lt;4,"",AVERAGE(AI51:AL51)))</f>
        <v/>
      </c>
      <c r="AZ51" s="9">
        <f>IF($C51&lt;&gt;1,"",IF(OR(K51="",M51=""),"",IF(AND(OR(K51=3,K51=4),M51=3),1,0)))</f>
        <v/>
      </c>
      <c r="BA51" s="6" t="n">
        <v>1</v>
      </c>
      <c r="BB51" s="6" t="n"/>
    </row>
    <row r="52">
      <c r="A52" s="6" t="inlineStr">
        <is>
          <t>R051</t>
        </is>
      </c>
      <c r="B52" s="6" t="n">
        <v>52</v>
      </c>
      <c r="C52" s="6" t="n">
        <v>0</v>
      </c>
      <c r="D52" s="6" t="n">
        <v>1</v>
      </c>
      <c r="E52" s="6" t="n">
        <v>2</v>
      </c>
      <c r="F52" s="6" t="n">
        <v>28</v>
      </c>
      <c r="G52" s="6" t="n">
        <v>4</v>
      </c>
      <c r="H52" s="6" t="n">
        <v>2</v>
      </c>
      <c r="I52" s="6" t="n"/>
      <c r="J52" s="6" t="n">
        <v>4</v>
      </c>
      <c r="K52" s="6" t="n">
        <v>2</v>
      </c>
      <c r="L52" s="6" t="n"/>
      <c r="M52" s="6" t="n">
        <v>2</v>
      </c>
      <c r="N52" s="6" t="n">
        <v>2</v>
      </c>
      <c r="O52" s="6" t="n">
        <v>3</v>
      </c>
      <c r="P52" s="6" t="n">
        <v>2</v>
      </c>
      <c r="Q52" s="6" t="n">
        <v>3</v>
      </c>
      <c r="R52" s="6" t="n">
        <v>3</v>
      </c>
      <c r="S52" s="6" t="n">
        <v>4</v>
      </c>
      <c r="T52" s="6" t="n">
        <v>2</v>
      </c>
      <c r="U52" s="6" t="n">
        <v>3</v>
      </c>
      <c r="V52" s="6" t="n">
        <v>3</v>
      </c>
      <c r="W52" s="6" t="n">
        <v>2</v>
      </c>
      <c r="X52" s="6" t="n">
        <v>2</v>
      </c>
      <c r="Y52" s="6" t="n">
        <v>2</v>
      </c>
      <c r="Z52" s="6" t="n">
        <v>2</v>
      </c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25">
        <f>IF(COUNT(O52:V52)&lt;8,"",AVERAGE(O52:V52))</f>
        <v/>
      </c>
      <c r="AN52" s="25">
        <f>IF(COUNT(O52:O52)&lt;1,"",AVERAGE(O52:O52))</f>
        <v/>
      </c>
      <c r="AO52" s="25">
        <f>IF(COUNT(P52:P52)&lt;1,"",AVERAGE(P52:P52))</f>
        <v/>
      </c>
      <c r="AP52" s="25">
        <f>IF(COUNT(Q52:R52)&lt;2,"",AVERAGE(Q52:R52))</f>
        <v/>
      </c>
      <c r="AQ52" s="25">
        <f>IF(COUNT(S52:T52)&lt;2,"",AVERAGE(S52:T52))</f>
        <v/>
      </c>
      <c r="AR52" s="25">
        <f>IF(COUNT(U52:V52)&lt;2,"",AVERAGE(U52:V52))</f>
        <v/>
      </c>
      <c r="AS52" s="25">
        <f>IF(COUNT(W52:Z52)&lt;4,"",AVERAGE(W52:Z52))</f>
        <v/>
      </c>
      <c r="AT52" s="25">
        <f>IF($C52&lt;&gt;1,"",IF(COUNT(AA52:AB52)&lt;2,"",AVERAGE(AA52:AB52)))</f>
        <v/>
      </c>
      <c r="AU52" s="25">
        <f>IF($C52&lt;&gt;1,"",IF(COUNT(AC52:AD52)&lt;2,"",AVERAGE(AC52:AD52)))</f>
        <v/>
      </c>
      <c r="AV52" s="25">
        <f>IF($C52&lt;&gt;1,"",IF(COUNT(AE52:AF52)&lt;2,"",AVERAGE(AE52:AF52)))</f>
        <v/>
      </c>
      <c r="AW52" s="25">
        <f>IF($C52&lt;&gt;1,"",IF(COUNT(AG52:AH52)&lt;2,"",AVERAGE(AG52:AH52)))</f>
        <v/>
      </c>
      <c r="AX52" s="25">
        <f>IF($C52&lt;&gt;1,"",IF(COUNT(AA52:AH52)&lt;8,"",AVERAGE(AA52:AH52)))</f>
        <v/>
      </c>
      <c r="AY52" s="25">
        <f>IF($C52&lt;&gt;1,"",IF(COUNT(AI52:AL52)&lt;4,"",AVERAGE(AI52:AL52)))</f>
        <v/>
      </c>
      <c r="AZ52" s="9">
        <f>IF($C52&lt;&gt;1,"",IF(OR(K52="",M52=""),"",IF(AND(OR(K52=3,K52=4),M52=3),1,0)))</f>
        <v/>
      </c>
      <c r="BA52" s="6" t="n">
        <v>1</v>
      </c>
      <c r="BB52" s="6" t="n"/>
    </row>
    <row r="53">
      <c r="A53" s="6" t="inlineStr">
        <is>
          <t>R052</t>
        </is>
      </c>
      <c r="B53" s="6" t="n">
        <v>53</v>
      </c>
      <c r="C53" s="6" t="n">
        <v>0</v>
      </c>
      <c r="D53" s="6" t="n">
        <v>2</v>
      </c>
      <c r="E53" s="6" t="n">
        <v>1</v>
      </c>
      <c r="F53" s="6" t="n">
        <v>33</v>
      </c>
      <c r="G53" s="6" t="n">
        <v>7</v>
      </c>
      <c r="H53" s="6" t="n">
        <v>1</v>
      </c>
      <c r="I53" s="6" t="n"/>
      <c r="J53" s="6" t="n">
        <v>2</v>
      </c>
      <c r="K53" s="6" t="n">
        <v>2</v>
      </c>
      <c r="L53" s="6" t="n"/>
      <c r="M53" s="6" t="n">
        <v>1</v>
      </c>
      <c r="N53" s="6" t="n">
        <v>3</v>
      </c>
      <c r="O53" s="6" t="n">
        <v>4</v>
      </c>
      <c r="P53" s="6" t="n">
        <v>5</v>
      </c>
      <c r="Q53" s="6" t="n">
        <v>4</v>
      </c>
      <c r="R53" s="6" t="n">
        <v>4</v>
      </c>
      <c r="S53" s="6" t="n">
        <v>3</v>
      </c>
      <c r="T53" s="6" t="n">
        <v>4</v>
      </c>
      <c r="U53" s="6" t="n">
        <v>5</v>
      </c>
      <c r="V53" s="6" t="n">
        <v>4</v>
      </c>
      <c r="W53" s="6" t="n">
        <v>5</v>
      </c>
      <c r="X53" s="6" t="n">
        <v>5</v>
      </c>
      <c r="Y53" s="6" t="n">
        <v>5</v>
      </c>
      <c r="Z53" s="6" t="n">
        <v>4</v>
      </c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25">
        <f>IF(COUNT(O53:V53)&lt;8,"",AVERAGE(O53:V53))</f>
        <v/>
      </c>
      <c r="AN53" s="25">
        <f>IF(COUNT(O53:O53)&lt;1,"",AVERAGE(O53:O53))</f>
        <v/>
      </c>
      <c r="AO53" s="25">
        <f>IF(COUNT(P53:P53)&lt;1,"",AVERAGE(P53:P53))</f>
        <v/>
      </c>
      <c r="AP53" s="25">
        <f>IF(COUNT(Q53:R53)&lt;2,"",AVERAGE(Q53:R53))</f>
        <v/>
      </c>
      <c r="AQ53" s="25">
        <f>IF(COUNT(S53:T53)&lt;2,"",AVERAGE(S53:T53))</f>
        <v/>
      </c>
      <c r="AR53" s="25">
        <f>IF(COUNT(U53:V53)&lt;2,"",AVERAGE(U53:V53))</f>
        <v/>
      </c>
      <c r="AS53" s="25">
        <f>IF(COUNT(W53:Z53)&lt;4,"",AVERAGE(W53:Z53))</f>
        <v/>
      </c>
      <c r="AT53" s="25">
        <f>IF($C53&lt;&gt;1,"",IF(COUNT(AA53:AB53)&lt;2,"",AVERAGE(AA53:AB53)))</f>
        <v/>
      </c>
      <c r="AU53" s="25">
        <f>IF($C53&lt;&gt;1,"",IF(COUNT(AC53:AD53)&lt;2,"",AVERAGE(AC53:AD53)))</f>
        <v/>
      </c>
      <c r="AV53" s="25">
        <f>IF($C53&lt;&gt;1,"",IF(COUNT(AE53:AF53)&lt;2,"",AVERAGE(AE53:AF53)))</f>
        <v/>
      </c>
      <c r="AW53" s="25">
        <f>IF($C53&lt;&gt;1,"",IF(COUNT(AG53:AH53)&lt;2,"",AVERAGE(AG53:AH53)))</f>
        <v/>
      </c>
      <c r="AX53" s="25">
        <f>IF($C53&lt;&gt;1,"",IF(COUNT(AA53:AH53)&lt;8,"",AVERAGE(AA53:AH53)))</f>
        <v/>
      </c>
      <c r="AY53" s="25">
        <f>IF($C53&lt;&gt;1,"",IF(COUNT(AI53:AL53)&lt;4,"",AVERAGE(AI53:AL53)))</f>
        <v/>
      </c>
      <c r="AZ53" s="9">
        <f>IF($C53&lt;&gt;1,"",IF(OR(K53="",M53=""),"",IF(AND(OR(K53=3,K53=4),M53=3),1,0)))</f>
        <v/>
      </c>
      <c r="BA53" s="6" t="n">
        <v>1</v>
      </c>
      <c r="BB53" s="6" t="n"/>
    </row>
    <row r="54">
      <c r="A54" s="6" t="inlineStr">
        <is>
          <t>R053</t>
        </is>
      </c>
      <c r="B54" s="6" t="n">
        <v>54</v>
      </c>
      <c r="C54" s="6" t="n">
        <v>1</v>
      </c>
      <c r="D54" s="6" t="n">
        <v>2</v>
      </c>
      <c r="E54" s="6" t="n">
        <v>1</v>
      </c>
      <c r="F54" s="6" t="n">
        <v>45</v>
      </c>
      <c r="G54" s="6" t="n">
        <v>10</v>
      </c>
      <c r="H54" s="6" t="n">
        <v>1</v>
      </c>
      <c r="I54" s="6" t="n"/>
      <c r="J54" s="6" t="n">
        <v>2</v>
      </c>
      <c r="K54" s="6" t="n">
        <v>3</v>
      </c>
      <c r="L54" s="6" t="n"/>
      <c r="M54" s="6" t="n">
        <v>1</v>
      </c>
      <c r="N54" s="6" t="n">
        <v>2</v>
      </c>
      <c r="O54" s="6" t="n">
        <v>5</v>
      </c>
      <c r="P54" s="6" t="n">
        <v>5</v>
      </c>
      <c r="Q54" s="6" t="n">
        <v>5</v>
      </c>
      <c r="R54" s="6" t="n">
        <v>5</v>
      </c>
      <c r="S54" s="6" t="n">
        <v>5</v>
      </c>
      <c r="T54" s="6" t="n">
        <v>4</v>
      </c>
      <c r="U54" s="6" t="n">
        <v>5</v>
      </c>
      <c r="V54" s="6" t="n">
        <v>5</v>
      </c>
      <c r="W54" s="6" t="n">
        <v>1</v>
      </c>
      <c r="X54" s="6" t="n">
        <v>1</v>
      </c>
      <c r="Y54" s="6" t="n">
        <v>5</v>
      </c>
      <c r="Z54" s="6" t="n">
        <v>1</v>
      </c>
      <c r="AA54" s="6" t="n">
        <v>5</v>
      </c>
      <c r="AB54" s="6" t="n">
        <v>5</v>
      </c>
      <c r="AC54" s="6" t="n">
        <v>5</v>
      </c>
      <c r="AD54" s="6" t="n">
        <v>5</v>
      </c>
      <c r="AE54" s="6" t="n">
        <v>5</v>
      </c>
      <c r="AF54" s="6" t="n">
        <v>3</v>
      </c>
      <c r="AG54" s="6" t="n">
        <v>5</v>
      </c>
      <c r="AH54" s="6" t="n">
        <v>5</v>
      </c>
      <c r="AI54" s="6" t="n">
        <v>5</v>
      </c>
      <c r="AJ54" s="6" t="n">
        <v>5</v>
      </c>
      <c r="AK54" s="6" t="n">
        <v>5</v>
      </c>
      <c r="AL54" s="6" t="n">
        <v>5</v>
      </c>
      <c r="AM54" s="25">
        <f>IF(COUNT(O54:V54)&lt;8,"",AVERAGE(O54:V54))</f>
        <v/>
      </c>
      <c r="AN54" s="25">
        <f>IF(COUNT(O54:O54)&lt;1,"",AVERAGE(O54:O54))</f>
        <v/>
      </c>
      <c r="AO54" s="25">
        <f>IF(COUNT(P54:P54)&lt;1,"",AVERAGE(P54:P54))</f>
        <v/>
      </c>
      <c r="AP54" s="25">
        <f>IF(COUNT(Q54:R54)&lt;2,"",AVERAGE(Q54:R54))</f>
        <v/>
      </c>
      <c r="AQ54" s="25">
        <f>IF(COUNT(S54:T54)&lt;2,"",AVERAGE(S54:T54))</f>
        <v/>
      </c>
      <c r="AR54" s="25">
        <f>IF(COUNT(U54:V54)&lt;2,"",AVERAGE(U54:V54))</f>
        <v/>
      </c>
      <c r="AS54" s="25">
        <f>IF(COUNT(W54:Z54)&lt;4,"",AVERAGE(W54:Z54))</f>
        <v/>
      </c>
      <c r="AT54" s="25">
        <f>IF($C54&lt;&gt;1,"",IF(COUNT(AA54:AB54)&lt;2,"",AVERAGE(AA54:AB54)))</f>
        <v/>
      </c>
      <c r="AU54" s="25">
        <f>IF($C54&lt;&gt;1,"",IF(COUNT(AC54:AD54)&lt;2,"",AVERAGE(AC54:AD54)))</f>
        <v/>
      </c>
      <c r="AV54" s="25">
        <f>IF($C54&lt;&gt;1,"",IF(COUNT(AE54:AF54)&lt;2,"",AVERAGE(AE54:AF54)))</f>
        <v/>
      </c>
      <c r="AW54" s="25">
        <f>IF($C54&lt;&gt;1,"",IF(COUNT(AG54:AH54)&lt;2,"",AVERAGE(AG54:AH54)))</f>
        <v/>
      </c>
      <c r="AX54" s="25">
        <f>IF($C54&lt;&gt;1,"",IF(COUNT(AA54:AH54)&lt;8,"",AVERAGE(AA54:AH54)))</f>
        <v/>
      </c>
      <c r="AY54" s="25">
        <f>IF($C54&lt;&gt;1,"",IF(COUNT(AI54:AL54)&lt;4,"",AVERAGE(AI54:AL54)))</f>
        <v/>
      </c>
      <c r="AZ54" s="9">
        <f>IF($C54&lt;&gt;1,"",IF(OR(K54="",M54=""),"",IF(AND(OR(K54=3,K54=4),M54=3),1,0)))</f>
        <v/>
      </c>
      <c r="BA54" s="6" t="n">
        <v>1</v>
      </c>
      <c r="BB54" s="6" t="n"/>
    </row>
    <row r="55">
      <c r="A55" s="6" t="inlineStr">
        <is>
          <t>R054</t>
        </is>
      </c>
      <c r="B55" s="6" t="n">
        <v>55</v>
      </c>
      <c r="C55" s="6" t="n">
        <v>1</v>
      </c>
      <c r="D55" s="6" t="n">
        <v>1</v>
      </c>
      <c r="E55" s="6" t="n">
        <v>1</v>
      </c>
      <c r="F55" s="6" t="n">
        <v>40</v>
      </c>
      <c r="G55" s="6" t="n">
        <v>10</v>
      </c>
      <c r="H55" s="6" t="n">
        <v>3</v>
      </c>
      <c r="I55" s="6" t="n"/>
      <c r="J55" s="6" t="n">
        <v>1</v>
      </c>
      <c r="K55" s="6" t="n">
        <v>2</v>
      </c>
      <c r="L55" s="6" t="n"/>
      <c r="M55" s="6" t="n">
        <v>1</v>
      </c>
      <c r="N55" s="6" t="n">
        <v>2</v>
      </c>
      <c r="O55" s="6" t="n">
        <v>4</v>
      </c>
      <c r="P55" s="6" t="n">
        <v>4</v>
      </c>
      <c r="Q55" s="6" t="n">
        <v>3</v>
      </c>
      <c r="R55" s="6" t="n">
        <v>4</v>
      </c>
      <c r="S55" s="6" t="n">
        <v>3</v>
      </c>
      <c r="T55" s="6" t="n">
        <v>2</v>
      </c>
      <c r="U55" s="6" t="n">
        <v>4</v>
      </c>
      <c r="V55" s="6" t="n">
        <v>3</v>
      </c>
      <c r="W55" s="6" t="n">
        <v>4</v>
      </c>
      <c r="X55" s="6" t="n">
        <v>5</v>
      </c>
      <c r="Y55" s="6" t="n">
        <v>5</v>
      </c>
      <c r="Z55" s="6" t="n">
        <v>4</v>
      </c>
      <c r="AA55" s="6" t="n">
        <v>4</v>
      </c>
      <c r="AB55" s="6" t="n">
        <v>4</v>
      </c>
      <c r="AC55" s="6" t="n">
        <v>4</v>
      </c>
      <c r="AD55" s="6" t="n">
        <v>4</v>
      </c>
      <c r="AE55" s="6" t="n">
        <v>4</v>
      </c>
      <c r="AF55" s="6" t="n">
        <v>4</v>
      </c>
      <c r="AG55" s="6" t="n">
        <v>3</v>
      </c>
      <c r="AH55" s="6" t="n">
        <v>3</v>
      </c>
      <c r="AI55" s="6" t="n">
        <v>4</v>
      </c>
      <c r="AJ55" s="6" t="n">
        <v>4</v>
      </c>
      <c r="AK55" s="6" t="n">
        <v>2</v>
      </c>
      <c r="AL55" s="6" t="n">
        <v>3</v>
      </c>
      <c r="AM55" s="25">
        <f>IF(COUNT(O55:V55)&lt;8,"",AVERAGE(O55:V55))</f>
        <v/>
      </c>
      <c r="AN55" s="25">
        <f>IF(COUNT(O55:O55)&lt;1,"",AVERAGE(O55:O55))</f>
        <v/>
      </c>
      <c r="AO55" s="25">
        <f>IF(COUNT(P55:P55)&lt;1,"",AVERAGE(P55:P55))</f>
        <v/>
      </c>
      <c r="AP55" s="25">
        <f>IF(COUNT(Q55:R55)&lt;2,"",AVERAGE(Q55:R55))</f>
        <v/>
      </c>
      <c r="AQ55" s="25">
        <f>IF(COUNT(S55:T55)&lt;2,"",AVERAGE(S55:T55))</f>
        <v/>
      </c>
      <c r="AR55" s="25">
        <f>IF(COUNT(U55:V55)&lt;2,"",AVERAGE(U55:V55))</f>
        <v/>
      </c>
      <c r="AS55" s="25">
        <f>IF(COUNT(W55:Z55)&lt;4,"",AVERAGE(W55:Z55))</f>
        <v/>
      </c>
      <c r="AT55" s="25">
        <f>IF($C55&lt;&gt;1,"",IF(COUNT(AA55:AB55)&lt;2,"",AVERAGE(AA55:AB55)))</f>
        <v/>
      </c>
      <c r="AU55" s="25">
        <f>IF($C55&lt;&gt;1,"",IF(COUNT(AC55:AD55)&lt;2,"",AVERAGE(AC55:AD55)))</f>
        <v/>
      </c>
      <c r="AV55" s="25">
        <f>IF($C55&lt;&gt;1,"",IF(COUNT(AE55:AF55)&lt;2,"",AVERAGE(AE55:AF55)))</f>
        <v/>
      </c>
      <c r="AW55" s="25">
        <f>IF($C55&lt;&gt;1,"",IF(COUNT(AG55:AH55)&lt;2,"",AVERAGE(AG55:AH55)))</f>
        <v/>
      </c>
      <c r="AX55" s="25">
        <f>IF($C55&lt;&gt;1,"",IF(COUNT(AA55:AH55)&lt;8,"",AVERAGE(AA55:AH55)))</f>
        <v/>
      </c>
      <c r="AY55" s="25">
        <f>IF($C55&lt;&gt;1,"",IF(COUNT(AI55:AL55)&lt;4,"",AVERAGE(AI55:AL55)))</f>
        <v/>
      </c>
      <c r="AZ55" s="9">
        <f>IF($C55&lt;&gt;1,"",IF(OR(K55="",M55=""),"",IF(AND(OR(K55=3,K55=4),M55=3),1,0)))</f>
        <v/>
      </c>
      <c r="BA55" s="6" t="n">
        <v>1</v>
      </c>
      <c r="BB55" s="6" t="n"/>
    </row>
    <row r="56">
      <c r="A56" s="6" t="inlineStr">
        <is>
          <t>R055</t>
        </is>
      </c>
      <c r="B56" s="6" t="n">
        <v>56</v>
      </c>
      <c r="C56" s="6" t="n">
        <v>1</v>
      </c>
      <c r="D56" s="6" t="n">
        <v>2</v>
      </c>
      <c r="E56" s="6" t="n">
        <v>1</v>
      </c>
      <c r="F56" s="6" t="n">
        <v>35</v>
      </c>
      <c r="G56" s="6" t="n">
        <v>10</v>
      </c>
      <c r="H56" s="6" t="n">
        <v>4</v>
      </c>
      <c r="I56" s="6" t="inlineStr">
        <is>
          <t>사업관리(안전포함)</t>
        </is>
      </c>
      <c r="J56" s="6" t="n">
        <v>4</v>
      </c>
      <c r="K56" s="6" t="n">
        <v>3</v>
      </c>
      <c r="L56" s="6" t="n"/>
      <c r="M56" s="6" t="n">
        <v>4</v>
      </c>
      <c r="N56" s="6" t="n">
        <v>3</v>
      </c>
      <c r="O56" s="6" t="n">
        <v>3</v>
      </c>
      <c r="P56" s="6" t="n">
        <v>4</v>
      </c>
      <c r="Q56" s="6" t="n">
        <v>4</v>
      </c>
      <c r="R56" s="6" t="n">
        <v>5</v>
      </c>
      <c r="S56" s="6" t="n">
        <v>4</v>
      </c>
      <c r="T56" s="6" t="n">
        <v>2</v>
      </c>
      <c r="U56" s="6" t="n">
        <v>4</v>
      </c>
      <c r="V56" s="6" t="n">
        <v>4</v>
      </c>
      <c r="W56" s="6" t="n">
        <v>4</v>
      </c>
      <c r="X56" s="6" t="n">
        <v>4</v>
      </c>
      <c r="Y56" s="6" t="n">
        <v>3</v>
      </c>
      <c r="Z56" s="6" t="n">
        <v>3</v>
      </c>
      <c r="AA56" s="6" t="n">
        <v>4</v>
      </c>
      <c r="AB56" s="6" t="n">
        <v>4</v>
      </c>
      <c r="AC56" s="6" t="n">
        <v>4</v>
      </c>
      <c r="AD56" s="6" t="n">
        <v>4</v>
      </c>
      <c r="AE56" s="6" t="n">
        <v>5</v>
      </c>
      <c r="AF56" s="6" t="n">
        <v>5</v>
      </c>
      <c r="AG56" s="6" t="n">
        <v>5</v>
      </c>
      <c r="AH56" s="6" t="n">
        <v>5</v>
      </c>
      <c r="AI56" s="6" t="n">
        <v>5</v>
      </c>
      <c r="AJ56" s="6" t="n">
        <v>5</v>
      </c>
      <c r="AK56" s="6" t="n">
        <v>4</v>
      </c>
      <c r="AL56" s="6" t="n">
        <v>4</v>
      </c>
      <c r="AM56" s="25">
        <f>IF(COUNT(O56:V56)&lt;8,"",AVERAGE(O56:V56))</f>
        <v/>
      </c>
      <c r="AN56" s="25">
        <f>IF(COUNT(O56:O56)&lt;1,"",AVERAGE(O56:O56))</f>
        <v/>
      </c>
      <c r="AO56" s="25">
        <f>IF(COUNT(P56:P56)&lt;1,"",AVERAGE(P56:P56))</f>
        <v/>
      </c>
      <c r="AP56" s="25">
        <f>IF(COUNT(Q56:R56)&lt;2,"",AVERAGE(Q56:R56))</f>
        <v/>
      </c>
      <c r="AQ56" s="25">
        <f>IF(COUNT(S56:T56)&lt;2,"",AVERAGE(S56:T56))</f>
        <v/>
      </c>
      <c r="AR56" s="25">
        <f>IF(COUNT(U56:V56)&lt;2,"",AVERAGE(U56:V56))</f>
        <v/>
      </c>
      <c r="AS56" s="25">
        <f>IF(COUNT(W56:Z56)&lt;4,"",AVERAGE(W56:Z56))</f>
        <v/>
      </c>
      <c r="AT56" s="25">
        <f>IF($C56&lt;&gt;1,"",IF(COUNT(AA56:AB56)&lt;2,"",AVERAGE(AA56:AB56)))</f>
        <v/>
      </c>
      <c r="AU56" s="25">
        <f>IF($C56&lt;&gt;1,"",IF(COUNT(AC56:AD56)&lt;2,"",AVERAGE(AC56:AD56)))</f>
        <v/>
      </c>
      <c r="AV56" s="25">
        <f>IF($C56&lt;&gt;1,"",IF(COUNT(AE56:AF56)&lt;2,"",AVERAGE(AE56:AF56)))</f>
        <v/>
      </c>
      <c r="AW56" s="25">
        <f>IF($C56&lt;&gt;1,"",IF(COUNT(AG56:AH56)&lt;2,"",AVERAGE(AG56:AH56)))</f>
        <v/>
      </c>
      <c r="AX56" s="25">
        <f>IF($C56&lt;&gt;1,"",IF(COUNT(AA56:AH56)&lt;8,"",AVERAGE(AA56:AH56)))</f>
        <v/>
      </c>
      <c r="AY56" s="25">
        <f>IF($C56&lt;&gt;1,"",IF(COUNT(AI56:AL56)&lt;4,"",AVERAGE(AI56:AL56)))</f>
        <v/>
      </c>
      <c r="AZ56" s="9">
        <f>IF($C56&lt;&gt;1,"",IF(OR(K56="",M56=""),"",IF(AND(OR(K56=3,K56=4),M56=3),1,0)))</f>
        <v/>
      </c>
      <c r="BA56" s="6" t="n">
        <v>1</v>
      </c>
      <c r="BB56" s="6" t="n"/>
    </row>
    <row r="57">
      <c r="A57" s="6" t="inlineStr">
        <is>
          <t>R056</t>
        </is>
      </c>
      <c r="B57" s="6" t="n">
        <v>57</v>
      </c>
      <c r="C57" s="6" t="n">
        <v>0</v>
      </c>
      <c r="D57" s="6" t="n">
        <v>2</v>
      </c>
      <c r="E57" s="6" t="n">
        <v>2</v>
      </c>
      <c r="F57" s="6" t="n">
        <v>39</v>
      </c>
      <c r="G57" s="6" t="n">
        <v>13</v>
      </c>
      <c r="H57" s="6" t="n">
        <v>1</v>
      </c>
      <c r="I57" s="6" t="n"/>
      <c r="J57" s="6" t="n">
        <v>1</v>
      </c>
      <c r="K57" s="6" t="n">
        <v>2</v>
      </c>
      <c r="L57" s="6" t="n"/>
      <c r="M57" s="6" t="n">
        <v>2</v>
      </c>
      <c r="N57" s="6" t="n">
        <v>3</v>
      </c>
      <c r="O57" s="6" t="n">
        <v>2</v>
      </c>
      <c r="P57" s="6" t="n">
        <v>2</v>
      </c>
      <c r="Q57" s="6" t="n">
        <v>1</v>
      </c>
      <c r="R57" s="6" t="n">
        <v>1</v>
      </c>
      <c r="S57" s="6" t="n">
        <v>1</v>
      </c>
      <c r="T57" s="6" t="n">
        <v>1</v>
      </c>
      <c r="U57" s="6" t="n">
        <v>2</v>
      </c>
      <c r="V57" s="6" t="n">
        <v>1</v>
      </c>
      <c r="W57" s="6" t="n">
        <v>5</v>
      </c>
      <c r="X57" s="6" t="n">
        <v>5</v>
      </c>
      <c r="Y57" s="6" t="n">
        <v>5</v>
      </c>
      <c r="Z57" s="6" t="n">
        <v>5</v>
      </c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25">
        <f>IF(COUNT(O57:V57)&lt;8,"",AVERAGE(O57:V57))</f>
        <v/>
      </c>
      <c r="AN57" s="25">
        <f>IF(COUNT(O57:O57)&lt;1,"",AVERAGE(O57:O57))</f>
        <v/>
      </c>
      <c r="AO57" s="25">
        <f>IF(COUNT(P57:P57)&lt;1,"",AVERAGE(P57:P57))</f>
        <v/>
      </c>
      <c r="AP57" s="25">
        <f>IF(COUNT(Q57:R57)&lt;2,"",AVERAGE(Q57:R57))</f>
        <v/>
      </c>
      <c r="AQ57" s="25">
        <f>IF(COUNT(S57:T57)&lt;2,"",AVERAGE(S57:T57))</f>
        <v/>
      </c>
      <c r="AR57" s="25">
        <f>IF(COUNT(U57:V57)&lt;2,"",AVERAGE(U57:V57))</f>
        <v/>
      </c>
      <c r="AS57" s="25">
        <f>IF(COUNT(W57:Z57)&lt;4,"",AVERAGE(W57:Z57))</f>
        <v/>
      </c>
      <c r="AT57" s="25">
        <f>IF($C57&lt;&gt;1,"",IF(COUNT(AA57:AB57)&lt;2,"",AVERAGE(AA57:AB57)))</f>
        <v/>
      </c>
      <c r="AU57" s="25">
        <f>IF($C57&lt;&gt;1,"",IF(COUNT(AC57:AD57)&lt;2,"",AVERAGE(AC57:AD57)))</f>
        <v/>
      </c>
      <c r="AV57" s="25">
        <f>IF($C57&lt;&gt;1,"",IF(COUNT(AE57:AF57)&lt;2,"",AVERAGE(AE57:AF57)))</f>
        <v/>
      </c>
      <c r="AW57" s="25">
        <f>IF($C57&lt;&gt;1,"",IF(COUNT(AG57:AH57)&lt;2,"",AVERAGE(AG57:AH57)))</f>
        <v/>
      </c>
      <c r="AX57" s="25">
        <f>IF($C57&lt;&gt;1,"",IF(COUNT(AA57:AH57)&lt;8,"",AVERAGE(AA57:AH57)))</f>
        <v/>
      </c>
      <c r="AY57" s="25">
        <f>IF($C57&lt;&gt;1,"",IF(COUNT(AI57:AL57)&lt;4,"",AVERAGE(AI57:AL57)))</f>
        <v/>
      </c>
      <c r="AZ57" s="9">
        <f>IF($C57&lt;&gt;1,"",IF(OR(K57="",M57=""),"",IF(AND(OR(K57=3,K57=4),M57=3),1,0)))</f>
        <v/>
      </c>
      <c r="BA57" s="6" t="n">
        <v>1</v>
      </c>
      <c r="BB57" s="6" t="n"/>
    </row>
    <row r="58">
      <c r="A58" s="6" t="inlineStr">
        <is>
          <t>R057</t>
        </is>
      </c>
      <c r="B58" s="6" t="n">
        <v>58</v>
      </c>
      <c r="C58" s="6" t="n">
        <v>0</v>
      </c>
      <c r="D58" s="6" t="n">
        <v>1</v>
      </c>
      <c r="E58" s="6" t="n">
        <v>1</v>
      </c>
      <c r="F58" s="6" t="n">
        <v>59</v>
      </c>
      <c r="G58" s="6" t="n">
        <v>12</v>
      </c>
      <c r="H58" s="6" t="n">
        <v>2</v>
      </c>
      <c r="I58" s="6" t="n"/>
      <c r="J58" s="6" t="n">
        <v>3</v>
      </c>
      <c r="K58" s="6" t="n">
        <v>2</v>
      </c>
      <c r="L58" s="6" t="n"/>
      <c r="M58" s="6" t="n">
        <v>1</v>
      </c>
      <c r="N58" s="6" t="n">
        <v>1</v>
      </c>
      <c r="O58" s="6" t="n">
        <v>3</v>
      </c>
      <c r="P58" s="6" t="n">
        <v>4</v>
      </c>
      <c r="Q58" s="6" t="n">
        <v>2</v>
      </c>
      <c r="R58" s="6" t="n">
        <v>2</v>
      </c>
      <c r="S58" s="6" t="n">
        <v>5</v>
      </c>
      <c r="T58" s="6" t="n">
        <v>4</v>
      </c>
      <c r="U58" s="6" t="n">
        <v>4</v>
      </c>
      <c r="V58" s="6" t="n">
        <v>4</v>
      </c>
      <c r="W58" s="6" t="n">
        <v>5</v>
      </c>
      <c r="X58" s="6" t="n">
        <v>5</v>
      </c>
      <c r="Y58" s="6" t="n">
        <v>4</v>
      </c>
      <c r="Z58" s="6" t="n">
        <v>3</v>
      </c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25">
        <f>IF(COUNT(O58:V58)&lt;8,"",AVERAGE(O58:V58))</f>
        <v/>
      </c>
      <c r="AN58" s="25">
        <f>IF(COUNT(O58:O58)&lt;1,"",AVERAGE(O58:O58))</f>
        <v/>
      </c>
      <c r="AO58" s="25">
        <f>IF(COUNT(P58:P58)&lt;1,"",AVERAGE(P58:P58))</f>
        <v/>
      </c>
      <c r="AP58" s="25">
        <f>IF(COUNT(Q58:R58)&lt;2,"",AVERAGE(Q58:R58))</f>
        <v/>
      </c>
      <c r="AQ58" s="25">
        <f>IF(COUNT(S58:T58)&lt;2,"",AVERAGE(S58:T58))</f>
        <v/>
      </c>
      <c r="AR58" s="25">
        <f>IF(COUNT(U58:V58)&lt;2,"",AVERAGE(U58:V58))</f>
        <v/>
      </c>
      <c r="AS58" s="25">
        <f>IF(COUNT(W58:Z58)&lt;4,"",AVERAGE(W58:Z58))</f>
        <v/>
      </c>
      <c r="AT58" s="25">
        <f>IF($C58&lt;&gt;1,"",IF(COUNT(AA58:AB58)&lt;2,"",AVERAGE(AA58:AB58)))</f>
        <v/>
      </c>
      <c r="AU58" s="25">
        <f>IF($C58&lt;&gt;1,"",IF(COUNT(AC58:AD58)&lt;2,"",AVERAGE(AC58:AD58)))</f>
        <v/>
      </c>
      <c r="AV58" s="25">
        <f>IF($C58&lt;&gt;1,"",IF(COUNT(AE58:AF58)&lt;2,"",AVERAGE(AE58:AF58)))</f>
        <v/>
      </c>
      <c r="AW58" s="25">
        <f>IF($C58&lt;&gt;1,"",IF(COUNT(AG58:AH58)&lt;2,"",AVERAGE(AG58:AH58)))</f>
        <v/>
      </c>
      <c r="AX58" s="25">
        <f>IF($C58&lt;&gt;1,"",IF(COUNT(AA58:AH58)&lt;8,"",AVERAGE(AA58:AH58)))</f>
        <v/>
      </c>
      <c r="AY58" s="25">
        <f>IF($C58&lt;&gt;1,"",IF(COUNT(AI58:AL58)&lt;4,"",AVERAGE(AI58:AL58)))</f>
        <v/>
      </c>
      <c r="AZ58" s="9">
        <f>IF($C58&lt;&gt;1,"",IF(OR(K58="",M58=""),"",IF(AND(OR(K58=3,K58=4),M58=3),1,0)))</f>
        <v/>
      </c>
      <c r="BA58" s="6" t="n">
        <v>1</v>
      </c>
      <c r="BB58" s="6" t="n"/>
    </row>
    <row r="59">
      <c r="A59" s="6" t="inlineStr">
        <is>
          <t>R058</t>
        </is>
      </c>
      <c r="B59" s="6" t="n">
        <v>59</v>
      </c>
      <c r="C59" s="6" t="n">
        <v>1</v>
      </c>
      <c r="D59" s="6" t="n">
        <v>2</v>
      </c>
      <c r="E59" s="6" t="n">
        <v>1</v>
      </c>
      <c r="F59" s="6" t="n">
        <v>37</v>
      </c>
      <c r="G59" s="6" t="n">
        <v>4</v>
      </c>
      <c r="H59" s="6" t="n">
        <v>1</v>
      </c>
      <c r="I59" s="6" t="n"/>
      <c r="J59" s="6" t="n">
        <v>2</v>
      </c>
      <c r="K59" s="6" t="n">
        <v>3</v>
      </c>
      <c r="L59" s="6" t="n"/>
      <c r="M59" s="6" t="n">
        <v>2</v>
      </c>
      <c r="N59" s="6" t="n">
        <v>2</v>
      </c>
      <c r="O59" s="6" t="n">
        <v>4</v>
      </c>
      <c r="P59" s="6" t="n">
        <v>4</v>
      </c>
      <c r="Q59" s="6" t="n">
        <v>3</v>
      </c>
      <c r="R59" s="6" t="n">
        <v>4</v>
      </c>
      <c r="S59" s="6" t="n">
        <v>3</v>
      </c>
      <c r="T59" s="6" t="n">
        <v>4</v>
      </c>
      <c r="U59" s="6" t="n">
        <v>4</v>
      </c>
      <c r="V59" s="6" t="n">
        <v>4</v>
      </c>
      <c r="W59" s="6" t="n">
        <v>4</v>
      </c>
      <c r="X59" s="6" t="n">
        <v>3</v>
      </c>
      <c r="Y59" s="6" t="n">
        <v>3</v>
      </c>
      <c r="Z59" s="6" t="n">
        <v>3</v>
      </c>
      <c r="AA59" s="6" t="n">
        <v>3</v>
      </c>
      <c r="AB59" s="6" t="n">
        <v>4</v>
      </c>
      <c r="AC59" s="6" t="n">
        <v>3</v>
      </c>
      <c r="AD59" s="6" t="n">
        <v>3</v>
      </c>
      <c r="AE59" s="6" t="n">
        <v>3</v>
      </c>
      <c r="AF59" s="6" t="n">
        <v>3</v>
      </c>
      <c r="AG59" s="6" t="n">
        <v>3</v>
      </c>
      <c r="AH59" s="6" t="n">
        <v>3</v>
      </c>
      <c r="AI59" s="6" t="n">
        <v>4</v>
      </c>
      <c r="AJ59" s="6" t="n">
        <v>3</v>
      </c>
      <c r="AK59" s="6" t="n">
        <v>3</v>
      </c>
      <c r="AL59" s="6" t="n">
        <v>3</v>
      </c>
      <c r="AM59" s="25">
        <f>IF(COUNT(O59:V59)&lt;8,"",AVERAGE(O59:V59))</f>
        <v/>
      </c>
      <c r="AN59" s="25">
        <f>IF(COUNT(O59:O59)&lt;1,"",AVERAGE(O59:O59))</f>
        <v/>
      </c>
      <c r="AO59" s="25">
        <f>IF(COUNT(P59:P59)&lt;1,"",AVERAGE(P59:P59))</f>
        <v/>
      </c>
      <c r="AP59" s="25">
        <f>IF(COUNT(Q59:R59)&lt;2,"",AVERAGE(Q59:R59))</f>
        <v/>
      </c>
      <c r="AQ59" s="25">
        <f>IF(COUNT(S59:T59)&lt;2,"",AVERAGE(S59:T59))</f>
        <v/>
      </c>
      <c r="AR59" s="25">
        <f>IF(COUNT(U59:V59)&lt;2,"",AVERAGE(U59:V59))</f>
        <v/>
      </c>
      <c r="AS59" s="25">
        <f>IF(COUNT(W59:Z59)&lt;4,"",AVERAGE(W59:Z59))</f>
        <v/>
      </c>
      <c r="AT59" s="25">
        <f>IF($C59&lt;&gt;1,"",IF(COUNT(AA59:AB59)&lt;2,"",AVERAGE(AA59:AB59)))</f>
        <v/>
      </c>
      <c r="AU59" s="25">
        <f>IF($C59&lt;&gt;1,"",IF(COUNT(AC59:AD59)&lt;2,"",AVERAGE(AC59:AD59)))</f>
        <v/>
      </c>
      <c r="AV59" s="25">
        <f>IF($C59&lt;&gt;1,"",IF(COUNT(AE59:AF59)&lt;2,"",AVERAGE(AE59:AF59)))</f>
        <v/>
      </c>
      <c r="AW59" s="25">
        <f>IF($C59&lt;&gt;1,"",IF(COUNT(AG59:AH59)&lt;2,"",AVERAGE(AG59:AH59)))</f>
        <v/>
      </c>
      <c r="AX59" s="25">
        <f>IF($C59&lt;&gt;1,"",IF(COUNT(AA59:AH59)&lt;8,"",AVERAGE(AA59:AH59)))</f>
        <v/>
      </c>
      <c r="AY59" s="25">
        <f>IF($C59&lt;&gt;1,"",IF(COUNT(AI59:AL59)&lt;4,"",AVERAGE(AI59:AL59)))</f>
        <v/>
      </c>
      <c r="AZ59" s="9">
        <f>IF($C59&lt;&gt;1,"",IF(OR(K59="",M59=""),"",IF(AND(OR(K59=3,K59=4),M59=3),1,0)))</f>
        <v/>
      </c>
      <c r="BA59" s="6" t="n">
        <v>1</v>
      </c>
      <c r="BB59" s="6" t="n"/>
    </row>
    <row r="60">
      <c r="A60" s="6" t="inlineStr">
        <is>
          <t>R059</t>
        </is>
      </c>
      <c r="B60" s="6" t="n">
        <v>60</v>
      </c>
      <c r="C60" s="6" t="n">
        <v>0</v>
      </c>
      <c r="D60" s="6" t="n">
        <v>1</v>
      </c>
      <c r="E60" s="6" t="n">
        <v>1</v>
      </c>
      <c r="F60" s="6" t="n">
        <v>63</v>
      </c>
      <c r="G60" s="6" t="n">
        <v>36</v>
      </c>
      <c r="H60" s="6" t="n">
        <v>3</v>
      </c>
      <c r="I60" s="6" t="n"/>
      <c r="J60" s="6" t="n">
        <v>3</v>
      </c>
      <c r="K60" s="6" t="n">
        <v>2</v>
      </c>
      <c r="L60" s="6" t="n"/>
      <c r="M60" s="6" t="n">
        <v>2</v>
      </c>
      <c r="N60" s="6" t="n">
        <v>2</v>
      </c>
      <c r="O60" s="6" t="n">
        <v>4</v>
      </c>
      <c r="P60" s="6" t="n">
        <v>4</v>
      </c>
      <c r="Q60" s="6" t="n">
        <v>3</v>
      </c>
      <c r="R60" s="6" t="n">
        <v>4</v>
      </c>
      <c r="S60" s="6" t="n">
        <v>3</v>
      </c>
      <c r="T60" s="6" t="n">
        <v>3</v>
      </c>
      <c r="U60" s="6" t="n">
        <v>4</v>
      </c>
      <c r="V60" s="6" t="n">
        <v>3</v>
      </c>
      <c r="W60" s="6" t="n">
        <v>3</v>
      </c>
      <c r="X60" s="6" t="n">
        <v>3</v>
      </c>
      <c r="Y60" s="6" t="n">
        <v>4</v>
      </c>
      <c r="Z60" s="6" t="n">
        <v>4</v>
      </c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25">
        <f>IF(COUNT(O60:V60)&lt;8,"",AVERAGE(O60:V60))</f>
        <v/>
      </c>
      <c r="AN60" s="25">
        <f>IF(COUNT(O60:O60)&lt;1,"",AVERAGE(O60:O60))</f>
        <v/>
      </c>
      <c r="AO60" s="25">
        <f>IF(COUNT(P60:P60)&lt;1,"",AVERAGE(P60:P60))</f>
        <v/>
      </c>
      <c r="AP60" s="25">
        <f>IF(COUNT(Q60:R60)&lt;2,"",AVERAGE(Q60:R60))</f>
        <v/>
      </c>
      <c r="AQ60" s="25">
        <f>IF(COUNT(S60:T60)&lt;2,"",AVERAGE(S60:T60))</f>
        <v/>
      </c>
      <c r="AR60" s="25">
        <f>IF(COUNT(U60:V60)&lt;2,"",AVERAGE(U60:V60))</f>
        <v/>
      </c>
      <c r="AS60" s="25">
        <f>IF(COUNT(W60:Z60)&lt;4,"",AVERAGE(W60:Z60))</f>
        <v/>
      </c>
      <c r="AT60" s="25">
        <f>IF($C60&lt;&gt;1,"",IF(COUNT(AA60:AB60)&lt;2,"",AVERAGE(AA60:AB60)))</f>
        <v/>
      </c>
      <c r="AU60" s="25">
        <f>IF($C60&lt;&gt;1,"",IF(COUNT(AC60:AD60)&lt;2,"",AVERAGE(AC60:AD60)))</f>
        <v/>
      </c>
      <c r="AV60" s="25">
        <f>IF($C60&lt;&gt;1,"",IF(COUNT(AE60:AF60)&lt;2,"",AVERAGE(AE60:AF60)))</f>
        <v/>
      </c>
      <c r="AW60" s="25">
        <f>IF($C60&lt;&gt;1,"",IF(COUNT(AG60:AH60)&lt;2,"",AVERAGE(AG60:AH60)))</f>
        <v/>
      </c>
      <c r="AX60" s="25">
        <f>IF($C60&lt;&gt;1,"",IF(COUNT(AA60:AH60)&lt;8,"",AVERAGE(AA60:AH60)))</f>
        <v/>
      </c>
      <c r="AY60" s="25">
        <f>IF($C60&lt;&gt;1,"",IF(COUNT(AI60:AL60)&lt;4,"",AVERAGE(AI60:AL60)))</f>
        <v/>
      </c>
      <c r="AZ60" s="9">
        <f>IF($C60&lt;&gt;1,"",IF(OR(K60="",M60=""),"",IF(AND(OR(K60=3,K60=4),M60=3),1,0)))</f>
        <v/>
      </c>
      <c r="BA60" s="6" t="n">
        <v>1</v>
      </c>
      <c r="BB60" s="6" t="n"/>
    </row>
    <row r="61">
      <c r="A61" s="6" t="inlineStr">
        <is>
          <t>R060</t>
        </is>
      </c>
      <c r="B61" s="6" t="n">
        <v>61</v>
      </c>
      <c r="C61" s="6" t="n">
        <v>0</v>
      </c>
      <c r="D61" s="6" t="n">
        <v>1</v>
      </c>
      <c r="E61" s="6" t="n">
        <v>2</v>
      </c>
      <c r="F61" s="6" t="n">
        <v>35</v>
      </c>
      <c r="G61" s="6" t="n">
        <v>4</v>
      </c>
      <c r="H61" s="6" t="n">
        <v>2</v>
      </c>
      <c r="I61" s="6" t="n"/>
      <c r="J61" s="6" t="n">
        <v>3</v>
      </c>
      <c r="K61" s="6" t="n">
        <v>2</v>
      </c>
      <c r="L61" s="6" t="n"/>
      <c r="M61" s="6" t="n">
        <v>2</v>
      </c>
      <c r="N61" s="6" t="n">
        <v>1</v>
      </c>
      <c r="O61" s="6" t="n">
        <v>3</v>
      </c>
      <c r="P61" s="6" t="n">
        <v>4</v>
      </c>
      <c r="Q61" s="6" t="n">
        <v>3</v>
      </c>
      <c r="R61" s="6" t="n">
        <v>4</v>
      </c>
      <c r="S61" s="6" t="n">
        <v>3</v>
      </c>
      <c r="T61" s="6" t="n">
        <v>3</v>
      </c>
      <c r="U61" s="6" t="n">
        <v>4</v>
      </c>
      <c r="V61" s="6" t="n">
        <v>4</v>
      </c>
      <c r="W61" s="6" t="n">
        <v>4</v>
      </c>
      <c r="X61" s="6" t="n">
        <v>4</v>
      </c>
      <c r="Y61" s="6" t="n">
        <v>4</v>
      </c>
      <c r="Z61" s="6" t="n">
        <v>3</v>
      </c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25">
        <f>IF(COUNT(O61:V61)&lt;8,"",AVERAGE(O61:V61))</f>
        <v/>
      </c>
      <c r="AN61" s="25">
        <f>IF(COUNT(O61:O61)&lt;1,"",AVERAGE(O61:O61))</f>
        <v/>
      </c>
      <c r="AO61" s="25">
        <f>IF(COUNT(P61:P61)&lt;1,"",AVERAGE(P61:P61))</f>
        <v/>
      </c>
      <c r="AP61" s="25">
        <f>IF(COUNT(Q61:R61)&lt;2,"",AVERAGE(Q61:R61))</f>
        <v/>
      </c>
      <c r="AQ61" s="25">
        <f>IF(COUNT(S61:T61)&lt;2,"",AVERAGE(S61:T61))</f>
        <v/>
      </c>
      <c r="AR61" s="25">
        <f>IF(COUNT(U61:V61)&lt;2,"",AVERAGE(U61:V61))</f>
        <v/>
      </c>
      <c r="AS61" s="25">
        <f>IF(COUNT(W61:Z61)&lt;4,"",AVERAGE(W61:Z61))</f>
        <v/>
      </c>
      <c r="AT61" s="25">
        <f>IF($C61&lt;&gt;1,"",IF(COUNT(AA61:AB61)&lt;2,"",AVERAGE(AA61:AB61)))</f>
        <v/>
      </c>
      <c r="AU61" s="25">
        <f>IF($C61&lt;&gt;1,"",IF(COUNT(AC61:AD61)&lt;2,"",AVERAGE(AC61:AD61)))</f>
        <v/>
      </c>
      <c r="AV61" s="25">
        <f>IF($C61&lt;&gt;1,"",IF(COUNT(AE61:AF61)&lt;2,"",AVERAGE(AE61:AF61)))</f>
        <v/>
      </c>
      <c r="AW61" s="25">
        <f>IF($C61&lt;&gt;1,"",IF(COUNT(AG61:AH61)&lt;2,"",AVERAGE(AG61:AH61)))</f>
        <v/>
      </c>
      <c r="AX61" s="25">
        <f>IF($C61&lt;&gt;1,"",IF(COUNT(AA61:AH61)&lt;8,"",AVERAGE(AA61:AH61)))</f>
        <v/>
      </c>
      <c r="AY61" s="25">
        <f>IF($C61&lt;&gt;1,"",IF(COUNT(AI61:AL61)&lt;4,"",AVERAGE(AI61:AL61)))</f>
        <v/>
      </c>
      <c r="AZ61" s="9">
        <f>IF($C61&lt;&gt;1,"",IF(OR(K61="",M61=""),"",IF(AND(OR(K61=3,K61=4),M61=3),1,0)))</f>
        <v/>
      </c>
      <c r="BA61" s="6" t="n">
        <v>1</v>
      </c>
      <c r="BB61" s="6" t="n"/>
    </row>
    <row r="62">
      <c r="A62" s="6" t="inlineStr">
        <is>
          <t>R061</t>
        </is>
      </c>
      <c r="B62" s="6" t="n">
        <v>62</v>
      </c>
      <c r="C62" s="6" t="n">
        <v>0</v>
      </c>
      <c r="D62" s="6" t="n">
        <v>1</v>
      </c>
      <c r="E62" s="6" t="n">
        <v>1</v>
      </c>
      <c r="F62" s="6" t="n">
        <v>32</v>
      </c>
      <c r="G62" s="6" t="n">
        <v>2</v>
      </c>
      <c r="H62" s="6" t="n">
        <v>2</v>
      </c>
      <c r="I62" s="6" t="n"/>
      <c r="J62" s="6" t="n">
        <v>4</v>
      </c>
      <c r="K62" s="6" t="n">
        <v>2</v>
      </c>
      <c r="L62" s="6" t="n"/>
      <c r="M62" s="6" t="n">
        <v>2</v>
      </c>
      <c r="N62" s="6" t="n">
        <v>1</v>
      </c>
      <c r="O62" s="6" t="n">
        <v>4</v>
      </c>
      <c r="P62" s="6" t="n">
        <v>4</v>
      </c>
      <c r="Q62" s="6" t="n">
        <v>4</v>
      </c>
      <c r="R62" s="6" t="n">
        <v>4</v>
      </c>
      <c r="S62" s="6" t="n">
        <v>4</v>
      </c>
      <c r="T62" s="6" t="n">
        <v>4</v>
      </c>
      <c r="U62" s="6" t="n">
        <v>4</v>
      </c>
      <c r="V62" s="6" t="n">
        <v>4</v>
      </c>
      <c r="W62" s="6" t="n">
        <v>3</v>
      </c>
      <c r="X62" s="6" t="n">
        <v>3</v>
      </c>
      <c r="Y62" s="6" t="n">
        <v>3</v>
      </c>
      <c r="Z62" s="6" t="n">
        <v>3</v>
      </c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25">
        <f>IF(COUNT(O62:V62)&lt;8,"",AVERAGE(O62:V62))</f>
        <v/>
      </c>
      <c r="AN62" s="25">
        <f>IF(COUNT(O62:O62)&lt;1,"",AVERAGE(O62:O62))</f>
        <v/>
      </c>
      <c r="AO62" s="25">
        <f>IF(COUNT(P62:P62)&lt;1,"",AVERAGE(P62:P62))</f>
        <v/>
      </c>
      <c r="AP62" s="25">
        <f>IF(COUNT(Q62:R62)&lt;2,"",AVERAGE(Q62:R62))</f>
        <v/>
      </c>
      <c r="AQ62" s="25">
        <f>IF(COUNT(S62:T62)&lt;2,"",AVERAGE(S62:T62))</f>
        <v/>
      </c>
      <c r="AR62" s="25">
        <f>IF(COUNT(U62:V62)&lt;2,"",AVERAGE(U62:V62))</f>
        <v/>
      </c>
      <c r="AS62" s="25">
        <f>IF(COUNT(W62:Z62)&lt;4,"",AVERAGE(W62:Z62))</f>
        <v/>
      </c>
      <c r="AT62" s="25">
        <f>IF($C62&lt;&gt;1,"",IF(COUNT(AA62:AB62)&lt;2,"",AVERAGE(AA62:AB62)))</f>
        <v/>
      </c>
      <c r="AU62" s="25">
        <f>IF($C62&lt;&gt;1,"",IF(COUNT(AC62:AD62)&lt;2,"",AVERAGE(AC62:AD62)))</f>
        <v/>
      </c>
      <c r="AV62" s="25">
        <f>IF($C62&lt;&gt;1,"",IF(COUNT(AE62:AF62)&lt;2,"",AVERAGE(AE62:AF62)))</f>
        <v/>
      </c>
      <c r="AW62" s="25">
        <f>IF($C62&lt;&gt;1,"",IF(COUNT(AG62:AH62)&lt;2,"",AVERAGE(AG62:AH62)))</f>
        <v/>
      </c>
      <c r="AX62" s="25">
        <f>IF($C62&lt;&gt;1,"",IF(COUNT(AA62:AH62)&lt;8,"",AVERAGE(AA62:AH62)))</f>
        <v/>
      </c>
      <c r="AY62" s="25">
        <f>IF($C62&lt;&gt;1,"",IF(COUNT(AI62:AL62)&lt;4,"",AVERAGE(AI62:AL62)))</f>
        <v/>
      </c>
      <c r="AZ62" s="9">
        <f>IF($C62&lt;&gt;1,"",IF(OR(K62="",M62=""),"",IF(AND(OR(K62=3,K62=4),M62=3),1,0)))</f>
        <v/>
      </c>
      <c r="BA62" s="6" t="n">
        <v>1</v>
      </c>
      <c r="BB62" s="6" t="n"/>
    </row>
    <row r="63">
      <c r="A63" s="6" t="inlineStr">
        <is>
          <t>R062</t>
        </is>
      </c>
      <c r="B63" s="6" t="n">
        <v>63</v>
      </c>
      <c r="C63" s="6" t="n">
        <v>1</v>
      </c>
      <c r="D63" s="6" t="n">
        <v>2</v>
      </c>
      <c r="E63" s="6" t="n">
        <v>1</v>
      </c>
      <c r="F63" s="6" t="n">
        <v>46</v>
      </c>
      <c r="G63" s="6" t="n">
        <v>6</v>
      </c>
      <c r="H63" s="6" t="n">
        <v>1</v>
      </c>
      <c r="I63" s="6" t="n"/>
      <c r="J63" s="6" t="n">
        <v>4</v>
      </c>
      <c r="K63" s="6" t="n">
        <v>3</v>
      </c>
      <c r="L63" s="6" t="n"/>
      <c r="M63" s="6" t="n">
        <v>4</v>
      </c>
      <c r="N63" s="6" t="n">
        <v>2</v>
      </c>
      <c r="O63" s="6" t="n">
        <v>3</v>
      </c>
      <c r="P63" s="6" t="n">
        <v>3</v>
      </c>
      <c r="Q63" s="6" t="n">
        <v>4</v>
      </c>
      <c r="R63" s="6" t="n">
        <v>2</v>
      </c>
      <c r="S63" s="6" t="n">
        <v>2</v>
      </c>
      <c r="T63" s="6" t="n">
        <v>2</v>
      </c>
      <c r="U63" s="6" t="n">
        <v>3</v>
      </c>
      <c r="V63" s="6" t="n">
        <v>3</v>
      </c>
      <c r="W63" s="6" t="n">
        <v>2</v>
      </c>
      <c r="X63" s="6" t="n">
        <v>2</v>
      </c>
      <c r="Y63" s="6" t="n">
        <v>2</v>
      </c>
      <c r="Z63" s="6" t="n">
        <v>2</v>
      </c>
      <c r="AA63" s="6" t="n">
        <v>3</v>
      </c>
      <c r="AB63" s="6" t="n">
        <v>3</v>
      </c>
      <c r="AC63" s="6" t="n">
        <v>3</v>
      </c>
      <c r="AD63" s="6" t="n">
        <v>4</v>
      </c>
      <c r="AE63" s="6" t="n">
        <v>4</v>
      </c>
      <c r="AF63" s="6" t="n">
        <v>4</v>
      </c>
      <c r="AG63" s="6" t="n">
        <v>4</v>
      </c>
      <c r="AH63" s="6" t="n">
        <v>5</v>
      </c>
      <c r="AI63" s="6" t="n">
        <v>5</v>
      </c>
      <c r="AJ63" s="6" t="n">
        <v>5</v>
      </c>
      <c r="AK63" s="6" t="n">
        <v>5</v>
      </c>
      <c r="AL63" s="6" t="n">
        <v>4</v>
      </c>
      <c r="AM63" s="25">
        <f>IF(COUNT(O63:V63)&lt;8,"",AVERAGE(O63:V63))</f>
        <v/>
      </c>
      <c r="AN63" s="25">
        <f>IF(COUNT(O63:O63)&lt;1,"",AVERAGE(O63:O63))</f>
        <v/>
      </c>
      <c r="AO63" s="25">
        <f>IF(COUNT(P63:P63)&lt;1,"",AVERAGE(P63:P63))</f>
        <v/>
      </c>
      <c r="AP63" s="25">
        <f>IF(COUNT(Q63:R63)&lt;2,"",AVERAGE(Q63:R63))</f>
        <v/>
      </c>
      <c r="AQ63" s="25">
        <f>IF(COUNT(S63:T63)&lt;2,"",AVERAGE(S63:T63))</f>
        <v/>
      </c>
      <c r="AR63" s="25">
        <f>IF(COUNT(U63:V63)&lt;2,"",AVERAGE(U63:V63))</f>
        <v/>
      </c>
      <c r="AS63" s="25">
        <f>IF(COUNT(W63:Z63)&lt;4,"",AVERAGE(W63:Z63))</f>
        <v/>
      </c>
      <c r="AT63" s="25">
        <f>IF($C63&lt;&gt;1,"",IF(COUNT(AA63:AB63)&lt;2,"",AVERAGE(AA63:AB63)))</f>
        <v/>
      </c>
      <c r="AU63" s="25">
        <f>IF($C63&lt;&gt;1,"",IF(COUNT(AC63:AD63)&lt;2,"",AVERAGE(AC63:AD63)))</f>
        <v/>
      </c>
      <c r="AV63" s="25">
        <f>IF($C63&lt;&gt;1,"",IF(COUNT(AE63:AF63)&lt;2,"",AVERAGE(AE63:AF63)))</f>
        <v/>
      </c>
      <c r="AW63" s="25">
        <f>IF($C63&lt;&gt;1,"",IF(COUNT(AG63:AH63)&lt;2,"",AVERAGE(AG63:AH63)))</f>
        <v/>
      </c>
      <c r="AX63" s="25">
        <f>IF($C63&lt;&gt;1,"",IF(COUNT(AA63:AH63)&lt;8,"",AVERAGE(AA63:AH63)))</f>
        <v/>
      </c>
      <c r="AY63" s="25">
        <f>IF($C63&lt;&gt;1,"",IF(COUNT(AI63:AL63)&lt;4,"",AVERAGE(AI63:AL63)))</f>
        <v/>
      </c>
      <c r="AZ63" s="9">
        <f>IF($C63&lt;&gt;1,"",IF(OR(K63="",M63=""),"",IF(AND(OR(K63=3,K63=4),M63=3),1,0)))</f>
        <v/>
      </c>
      <c r="BA63" s="6" t="n">
        <v>1</v>
      </c>
      <c r="BB63" s="6" t="n"/>
    </row>
    <row r="64">
      <c r="A64" s="6" t="inlineStr">
        <is>
          <t>R063</t>
        </is>
      </c>
      <c r="B64" s="6" t="n">
        <v>64</v>
      </c>
      <c r="C64" s="6" t="n">
        <v>0</v>
      </c>
      <c r="D64" s="6" t="n">
        <v>1</v>
      </c>
      <c r="E64" s="6" t="n">
        <v>1</v>
      </c>
      <c r="F64" s="6" t="n">
        <v>61</v>
      </c>
      <c r="G64" s="6" t="n">
        <v>30</v>
      </c>
      <c r="H64" s="6" t="n">
        <v>3</v>
      </c>
      <c r="I64" s="6" t="n"/>
      <c r="J64" s="6" t="n">
        <v>4</v>
      </c>
      <c r="K64" s="6" t="n">
        <v>2</v>
      </c>
      <c r="L64" s="6" t="n"/>
      <c r="M64" s="6" t="n">
        <v>2</v>
      </c>
      <c r="N64" s="6" t="n">
        <v>1</v>
      </c>
      <c r="O64" s="6" t="n">
        <v>4</v>
      </c>
      <c r="P64" s="6" t="n">
        <v>4</v>
      </c>
      <c r="Q64" s="6" t="n">
        <v>3</v>
      </c>
      <c r="R64" s="6" t="n">
        <v>4</v>
      </c>
      <c r="S64" s="6" t="n">
        <v>4</v>
      </c>
      <c r="T64" s="6" t="n">
        <v>3</v>
      </c>
      <c r="U64" s="6" t="n">
        <v>4</v>
      </c>
      <c r="V64" s="6" t="n">
        <v>4</v>
      </c>
      <c r="W64" s="6" t="n">
        <v>3</v>
      </c>
      <c r="X64" s="6" t="n">
        <v>4</v>
      </c>
      <c r="Y64" s="6" t="n">
        <v>4</v>
      </c>
      <c r="Z64" s="6" t="n">
        <v>4</v>
      </c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25">
        <f>IF(COUNT(O64:V64)&lt;8,"",AVERAGE(O64:V64))</f>
        <v/>
      </c>
      <c r="AN64" s="25">
        <f>IF(COUNT(O64:O64)&lt;1,"",AVERAGE(O64:O64))</f>
        <v/>
      </c>
      <c r="AO64" s="25">
        <f>IF(COUNT(P64:P64)&lt;1,"",AVERAGE(P64:P64))</f>
        <v/>
      </c>
      <c r="AP64" s="25">
        <f>IF(COUNT(Q64:R64)&lt;2,"",AVERAGE(Q64:R64))</f>
        <v/>
      </c>
      <c r="AQ64" s="25">
        <f>IF(COUNT(S64:T64)&lt;2,"",AVERAGE(S64:T64))</f>
        <v/>
      </c>
      <c r="AR64" s="25">
        <f>IF(COUNT(U64:V64)&lt;2,"",AVERAGE(U64:V64))</f>
        <v/>
      </c>
      <c r="AS64" s="25">
        <f>IF(COUNT(W64:Z64)&lt;4,"",AVERAGE(W64:Z64))</f>
        <v/>
      </c>
      <c r="AT64" s="25">
        <f>IF($C64&lt;&gt;1,"",IF(COUNT(AA64:AB64)&lt;2,"",AVERAGE(AA64:AB64)))</f>
        <v/>
      </c>
      <c r="AU64" s="25">
        <f>IF($C64&lt;&gt;1,"",IF(COUNT(AC64:AD64)&lt;2,"",AVERAGE(AC64:AD64)))</f>
        <v/>
      </c>
      <c r="AV64" s="25">
        <f>IF($C64&lt;&gt;1,"",IF(COUNT(AE64:AF64)&lt;2,"",AVERAGE(AE64:AF64)))</f>
        <v/>
      </c>
      <c r="AW64" s="25">
        <f>IF($C64&lt;&gt;1,"",IF(COUNT(AG64:AH64)&lt;2,"",AVERAGE(AG64:AH64)))</f>
        <v/>
      </c>
      <c r="AX64" s="25">
        <f>IF($C64&lt;&gt;1,"",IF(COUNT(AA64:AH64)&lt;8,"",AVERAGE(AA64:AH64)))</f>
        <v/>
      </c>
      <c r="AY64" s="25">
        <f>IF($C64&lt;&gt;1,"",IF(COUNT(AI64:AL64)&lt;4,"",AVERAGE(AI64:AL64)))</f>
        <v/>
      </c>
      <c r="AZ64" s="9">
        <f>IF($C64&lt;&gt;1,"",IF(OR(K64="",M64=""),"",IF(AND(OR(K64=3,K64=4),M64=3),1,0)))</f>
        <v/>
      </c>
      <c r="BA64" s="6" t="n">
        <v>1</v>
      </c>
      <c r="BB64" s="6" t="n"/>
    </row>
    <row r="65">
      <c r="A65" s="6" t="inlineStr">
        <is>
          <t>R064</t>
        </is>
      </c>
      <c r="B65" s="6" t="n">
        <v>65</v>
      </c>
      <c r="C65" s="6" t="n">
        <v>0</v>
      </c>
      <c r="D65" s="6" t="n">
        <v>2</v>
      </c>
      <c r="E65" s="6" t="n">
        <v>1</v>
      </c>
      <c r="F65" s="6" t="n">
        <v>39</v>
      </c>
      <c r="G65" s="6" t="n">
        <v>2</v>
      </c>
      <c r="H65" s="6" t="n">
        <v>1</v>
      </c>
      <c r="I65" s="6" t="n"/>
      <c r="J65" s="6" t="n">
        <v>3</v>
      </c>
      <c r="K65" s="6" t="n">
        <v>3</v>
      </c>
      <c r="L65" s="6" t="n"/>
      <c r="M65" s="6" t="n">
        <v>2</v>
      </c>
      <c r="N65" s="6" t="n">
        <v>1</v>
      </c>
      <c r="O65" s="6" t="n">
        <v>4</v>
      </c>
      <c r="P65" s="6" t="n">
        <v>4</v>
      </c>
      <c r="Q65" s="6" t="n">
        <v>4</v>
      </c>
      <c r="R65" s="6" t="n">
        <v>4</v>
      </c>
      <c r="S65" s="6" t="n">
        <v>3</v>
      </c>
      <c r="T65" s="6" t="n">
        <v>2</v>
      </c>
      <c r="U65" s="6" t="n">
        <v>4</v>
      </c>
      <c r="V65" s="6" t="n">
        <v>3</v>
      </c>
      <c r="W65" s="6" t="n">
        <v>4</v>
      </c>
      <c r="X65" s="6" t="n">
        <v>4</v>
      </c>
      <c r="Y65" s="6" t="n">
        <v>4</v>
      </c>
      <c r="Z65" s="6" t="n">
        <v>4</v>
      </c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25">
        <f>IF(COUNT(O65:V65)&lt;8,"",AVERAGE(O65:V65))</f>
        <v/>
      </c>
      <c r="AN65" s="25">
        <f>IF(COUNT(O65:O65)&lt;1,"",AVERAGE(O65:O65))</f>
        <v/>
      </c>
      <c r="AO65" s="25">
        <f>IF(COUNT(P65:P65)&lt;1,"",AVERAGE(P65:P65))</f>
        <v/>
      </c>
      <c r="AP65" s="25">
        <f>IF(COUNT(Q65:R65)&lt;2,"",AVERAGE(Q65:R65))</f>
        <v/>
      </c>
      <c r="AQ65" s="25">
        <f>IF(COUNT(S65:T65)&lt;2,"",AVERAGE(S65:T65))</f>
        <v/>
      </c>
      <c r="AR65" s="25">
        <f>IF(COUNT(U65:V65)&lt;2,"",AVERAGE(U65:V65))</f>
        <v/>
      </c>
      <c r="AS65" s="25">
        <f>IF(COUNT(W65:Z65)&lt;4,"",AVERAGE(W65:Z65))</f>
        <v/>
      </c>
      <c r="AT65" s="25">
        <f>IF($C65&lt;&gt;1,"",IF(COUNT(AA65:AB65)&lt;2,"",AVERAGE(AA65:AB65)))</f>
        <v/>
      </c>
      <c r="AU65" s="25">
        <f>IF($C65&lt;&gt;1,"",IF(COUNT(AC65:AD65)&lt;2,"",AVERAGE(AC65:AD65)))</f>
        <v/>
      </c>
      <c r="AV65" s="25">
        <f>IF($C65&lt;&gt;1,"",IF(COUNT(AE65:AF65)&lt;2,"",AVERAGE(AE65:AF65)))</f>
        <v/>
      </c>
      <c r="AW65" s="25">
        <f>IF($C65&lt;&gt;1,"",IF(COUNT(AG65:AH65)&lt;2,"",AVERAGE(AG65:AH65)))</f>
        <v/>
      </c>
      <c r="AX65" s="25">
        <f>IF($C65&lt;&gt;1,"",IF(COUNT(AA65:AH65)&lt;8,"",AVERAGE(AA65:AH65)))</f>
        <v/>
      </c>
      <c r="AY65" s="25">
        <f>IF($C65&lt;&gt;1,"",IF(COUNT(AI65:AL65)&lt;4,"",AVERAGE(AI65:AL65)))</f>
        <v/>
      </c>
      <c r="AZ65" s="9">
        <f>IF($C65&lt;&gt;1,"",IF(OR(K65="",M65=""),"",IF(AND(OR(K65=3,K65=4),M65=3),1,0)))</f>
        <v/>
      </c>
      <c r="BA65" s="6" t="n">
        <v>1</v>
      </c>
      <c r="BB65" s="6" t="n"/>
    </row>
    <row r="66">
      <c r="A66" s="6" t="inlineStr">
        <is>
          <t>R065</t>
        </is>
      </c>
      <c r="B66" s="6" t="n">
        <v>66</v>
      </c>
      <c r="C66" s="6" t="n">
        <v>1</v>
      </c>
      <c r="D66" s="6" t="n">
        <v>1</v>
      </c>
      <c r="E66" s="6" t="n">
        <v>1</v>
      </c>
      <c r="F66" s="6" t="n">
        <v>53</v>
      </c>
      <c r="G66" s="6" t="n">
        <v>23</v>
      </c>
      <c r="H66" s="6" t="n">
        <v>2</v>
      </c>
      <c r="I66" s="6" t="n"/>
      <c r="J66" s="6" t="n">
        <v>4</v>
      </c>
      <c r="K66" s="6" t="n">
        <v>3</v>
      </c>
      <c r="L66" s="6" t="n"/>
      <c r="M66" s="6" t="n">
        <v>2</v>
      </c>
      <c r="N66" s="6" t="n">
        <v>2</v>
      </c>
      <c r="O66" s="6" t="n">
        <v>3</v>
      </c>
      <c r="P66" s="6" t="n">
        <v>4</v>
      </c>
      <c r="Q66" s="6" t="n">
        <v>3</v>
      </c>
      <c r="R66" s="6" t="n">
        <v>3</v>
      </c>
      <c r="S66" s="6" t="n">
        <v>3</v>
      </c>
      <c r="T66" s="6" t="n">
        <v>3</v>
      </c>
      <c r="U66" s="6" t="n">
        <v>4</v>
      </c>
      <c r="V66" s="6" t="n">
        <v>4</v>
      </c>
      <c r="W66" s="6" t="n">
        <v>3</v>
      </c>
      <c r="X66" s="6" t="n">
        <v>3</v>
      </c>
      <c r="Y66" s="6" t="n">
        <v>5</v>
      </c>
      <c r="Z66" s="6" t="n">
        <v>2</v>
      </c>
      <c r="AA66" s="6" t="n">
        <v>4</v>
      </c>
      <c r="AB66" s="6" t="n">
        <v>1</v>
      </c>
      <c r="AC66" s="6" t="n">
        <v>5</v>
      </c>
      <c r="AD66" s="6" t="n">
        <v>3</v>
      </c>
      <c r="AE66" s="6" t="n">
        <v>3</v>
      </c>
      <c r="AF66" s="6" t="n">
        <v>3</v>
      </c>
      <c r="AG66" s="6" t="n">
        <v>4</v>
      </c>
      <c r="AH66" s="6" t="n">
        <v>3</v>
      </c>
      <c r="AI66" s="6" t="n">
        <v>2</v>
      </c>
      <c r="AJ66" s="6" t="n">
        <v>2</v>
      </c>
      <c r="AK66" s="6" t="n">
        <v>3</v>
      </c>
      <c r="AL66" s="6" t="n">
        <v>3</v>
      </c>
      <c r="AM66" s="25">
        <f>IF(COUNT(O66:V66)&lt;8,"",AVERAGE(O66:V66))</f>
        <v/>
      </c>
      <c r="AN66" s="25">
        <f>IF(COUNT(O66:O66)&lt;1,"",AVERAGE(O66:O66))</f>
        <v/>
      </c>
      <c r="AO66" s="25">
        <f>IF(COUNT(P66:P66)&lt;1,"",AVERAGE(P66:P66))</f>
        <v/>
      </c>
      <c r="AP66" s="25">
        <f>IF(COUNT(Q66:R66)&lt;2,"",AVERAGE(Q66:R66))</f>
        <v/>
      </c>
      <c r="AQ66" s="25">
        <f>IF(COUNT(S66:T66)&lt;2,"",AVERAGE(S66:T66))</f>
        <v/>
      </c>
      <c r="AR66" s="25">
        <f>IF(COUNT(U66:V66)&lt;2,"",AVERAGE(U66:V66))</f>
        <v/>
      </c>
      <c r="AS66" s="25">
        <f>IF(COUNT(W66:Z66)&lt;4,"",AVERAGE(W66:Z66))</f>
        <v/>
      </c>
      <c r="AT66" s="25">
        <f>IF($C66&lt;&gt;1,"",IF(COUNT(AA66:AB66)&lt;2,"",AVERAGE(AA66:AB66)))</f>
        <v/>
      </c>
      <c r="AU66" s="25">
        <f>IF($C66&lt;&gt;1,"",IF(COUNT(AC66:AD66)&lt;2,"",AVERAGE(AC66:AD66)))</f>
        <v/>
      </c>
      <c r="AV66" s="25">
        <f>IF($C66&lt;&gt;1,"",IF(COUNT(AE66:AF66)&lt;2,"",AVERAGE(AE66:AF66)))</f>
        <v/>
      </c>
      <c r="AW66" s="25">
        <f>IF($C66&lt;&gt;1,"",IF(COUNT(AG66:AH66)&lt;2,"",AVERAGE(AG66:AH66)))</f>
        <v/>
      </c>
      <c r="AX66" s="25">
        <f>IF($C66&lt;&gt;1,"",IF(COUNT(AA66:AH66)&lt;8,"",AVERAGE(AA66:AH66)))</f>
        <v/>
      </c>
      <c r="AY66" s="25">
        <f>IF($C66&lt;&gt;1,"",IF(COUNT(AI66:AL66)&lt;4,"",AVERAGE(AI66:AL66)))</f>
        <v/>
      </c>
      <c r="AZ66" s="9">
        <f>IF($C66&lt;&gt;1,"",IF(OR(K66="",M66=""),"",IF(AND(OR(K66=3,K66=4),M66=3),1,0)))</f>
        <v/>
      </c>
      <c r="BA66" s="6" t="n">
        <v>1</v>
      </c>
      <c r="BB66" s="6" t="n"/>
    </row>
    <row r="67">
      <c r="A67" s="6" t="inlineStr">
        <is>
          <t>R066</t>
        </is>
      </c>
      <c r="B67" s="6" t="n">
        <v>67</v>
      </c>
      <c r="C67" s="6" t="n">
        <v>0</v>
      </c>
      <c r="D67" s="6" t="n">
        <v>1</v>
      </c>
      <c r="E67" s="6" t="n">
        <v>2</v>
      </c>
      <c r="F67" s="6" t="n">
        <v>50</v>
      </c>
      <c r="G67" s="6" t="n">
        <v>26</v>
      </c>
      <c r="H67" s="6" t="n">
        <v>1</v>
      </c>
      <c r="I67" s="6" t="n"/>
      <c r="J67" s="6" t="n">
        <v>1</v>
      </c>
      <c r="K67" s="6" t="n">
        <v>2</v>
      </c>
      <c r="L67" s="6" t="n"/>
      <c r="M67" s="6" t="n">
        <v>2</v>
      </c>
      <c r="N67" s="6" t="n">
        <v>3</v>
      </c>
      <c r="O67" s="6" t="n">
        <v>3</v>
      </c>
      <c r="P67" s="6" t="n">
        <v>3</v>
      </c>
      <c r="Q67" s="6" t="n">
        <v>3</v>
      </c>
      <c r="R67" s="6" t="n">
        <v>3</v>
      </c>
      <c r="S67" s="6" t="n">
        <v>3</v>
      </c>
      <c r="T67" s="6" t="n">
        <v>3</v>
      </c>
      <c r="U67" s="6" t="n">
        <v>3</v>
      </c>
      <c r="V67" s="6" t="n">
        <v>3</v>
      </c>
      <c r="W67" s="6" t="n">
        <v>5</v>
      </c>
      <c r="X67" s="6" t="n">
        <v>4</v>
      </c>
      <c r="Y67" s="6" t="n">
        <v>4</v>
      </c>
      <c r="Z67" s="6" t="n">
        <v>4</v>
      </c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25">
        <f>IF(COUNT(O67:V67)&lt;8,"",AVERAGE(O67:V67))</f>
        <v/>
      </c>
      <c r="AN67" s="25">
        <f>IF(COUNT(O67:O67)&lt;1,"",AVERAGE(O67:O67))</f>
        <v/>
      </c>
      <c r="AO67" s="25">
        <f>IF(COUNT(P67:P67)&lt;1,"",AVERAGE(P67:P67))</f>
        <v/>
      </c>
      <c r="AP67" s="25">
        <f>IF(COUNT(Q67:R67)&lt;2,"",AVERAGE(Q67:R67))</f>
        <v/>
      </c>
      <c r="AQ67" s="25">
        <f>IF(COUNT(S67:T67)&lt;2,"",AVERAGE(S67:T67))</f>
        <v/>
      </c>
      <c r="AR67" s="25">
        <f>IF(COUNT(U67:V67)&lt;2,"",AVERAGE(U67:V67))</f>
        <v/>
      </c>
      <c r="AS67" s="25">
        <f>IF(COUNT(W67:Z67)&lt;4,"",AVERAGE(W67:Z67))</f>
        <v/>
      </c>
      <c r="AT67" s="25">
        <f>IF($C67&lt;&gt;1,"",IF(COUNT(AA67:AB67)&lt;2,"",AVERAGE(AA67:AB67)))</f>
        <v/>
      </c>
      <c r="AU67" s="25">
        <f>IF($C67&lt;&gt;1,"",IF(COUNT(AC67:AD67)&lt;2,"",AVERAGE(AC67:AD67)))</f>
        <v/>
      </c>
      <c r="AV67" s="25">
        <f>IF($C67&lt;&gt;1,"",IF(COUNT(AE67:AF67)&lt;2,"",AVERAGE(AE67:AF67)))</f>
        <v/>
      </c>
      <c r="AW67" s="25">
        <f>IF($C67&lt;&gt;1,"",IF(COUNT(AG67:AH67)&lt;2,"",AVERAGE(AG67:AH67)))</f>
        <v/>
      </c>
      <c r="AX67" s="25">
        <f>IF($C67&lt;&gt;1,"",IF(COUNT(AA67:AH67)&lt;8,"",AVERAGE(AA67:AH67)))</f>
        <v/>
      </c>
      <c r="AY67" s="25">
        <f>IF($C67&lt;&gt;1,"",IF(COUNT(AI67:AL67)&lt;4,"",AVERAGE(AI67:AL67)))</f>
        <v/>
      </c>
      <c r="AZ67" s="9">
        <f>IF($C67&lt;&gt;1,"",IF(OR(K67="",M67=""),"",IF(AND(OR(K67=3,K67=4),M67=3),1,0)))</f>
        <v/>
      </c>
      <c r="BA67" s="6" t="n">
        <v>1</v>
      </c>
      <c r="BB67" s="6" t="n"/>
    </row>
    <row r="68">
      <c r="A68" s="6" t="inlineStr">
        <is>
          <t>R067</t>
        </is>
      </c>
      <c r="B68" s="6" t="n">
        <v>68</v>
      </c>
      <c r="C68" s="6" t="n">
        <v>0</v>
      </c>
      <c r="D68" s="6" t="n">
        <v>1</v>
      </c>
      <c r="E68" s="6" t="n">
        <v>1</v>
      </c>
      <c r="F68" s="6" t="n">
        <v>54</v>
      </c>
      <c r="G68" s="6" t="n">
        <v>5</v>
      </c>
      <c r="H68" s="6" t="n">
        <v>2</v>
      </c>
      <c r="I68" s="6" t="n"/>
      <c r="J68" s="6" t="n">
        <v>3</v>
      </c>
      <c r="K68" s="6" t="n">
        <v>2</v>
      </c>
      <c r="L68" s="6" t="n"/>
      <c r="M68" s="6" t="n">
        <v>2</v>
      </c>
      <c r="N68" s="6" t="n">
        <v>1</v>
      </c>
      <c r="O68" s="6" t="n">
        <v>3</v>
      </c>
      <c r="P68" s="6" t="n">
        <v>5</v>
      </c>
      <c r="Q68" s="6" t="n">
        <v>4</v>
      </c>
      <c r="R68" s="6" t="n">
        <v>4</v>
      </c>
      <c r="S68" s="6" t="n">
        <v>4</v>
      </c>
      <c r="T68" s="6" t="n">
        <v>4</v>
      </c>
      <c r="U68" s="6" t="n">
        <v>4</v>
      </c>
      <c r="V68" s="6" t="n">
        <v>5</v>
      </c>
      <c r="W68" s="6" t="n">
        <v>5</v>
      </c>
      <c r="X68" s="6" t="n">
        <v>5</v>
      </c>
      <c r="Y68" s="6" t="n">
        <v>5</v>
      </c>
      <c r="Z68" s="6" t="n">
        <v>5</v>
      </c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25">
        <f>IF(COUNT(O68:V68)&lt;8,"",AVERAGE(O68:V68))</f>
        <v/>
      </c>
      <c r="AN68" s="25">
        <f>IF(COUNT(O68:O68)&lt;1,"",AVERAGE(O68:O68))</f>
        <v/>
      </c>
      <c r="AO68" s="25">
        <f>IF(COUNT(P68:P68)&lt;1,"",AVERAGE(P68:P68))</f>
        <v/>
      </c>
      <c r="AP68" s="25">
        <f>IF(COUNT(Q68:R68)&lt;2,"",AVERAGE(Q68:R68))</f>
        <v/>
      </c>
      <c r="AQ68" s="25">
        <f>IF(COUNT(S68:T68)&lt;2,"",AVERAGE(S68:T68))</f>
        <v/>
      </c>
      <c r="AR68" s="25">
        <f>IF(COUNT(U68:V68)&lt;2,"",AVERAGE(U68:V68))</f>
        <v/>
      </c>
      <c r="AS68" s="25">
        <f>IF(COUNT(W68:Z68)&lt;4,"",AVERAGE(W68:Z68))</f>
        <v/>
      </c>
      <c r="AT68" s="25">
        <f>IF($C68&lt;&gt;1,"",IF(COUNT(AA68:AB68)&lt;2,"",AVERAGE(AA68:AB68)))</f>
        <v/>
      </c>
      <c r="AU68" s="25">
        <f>IF($C68&lt;&gt;1,"",IF(COUNT(AC68:AD68)&lt;2,"",AVERAGE(AC68:AD68)))</f>
        <v/>
      </c>
      <c r="AV68" s="25">
        <f>IF($C68&lt;&gt;1,"",IF(COUNT(AE68:AF68)&lt;2,"",AVERAGE(AE68:AF68)))</f>
        <v/>
      </c>
      <c r="AW68" s="25">
        <f>IF($C68&lt;&gt;1,"",IF(COUNT(AG68:AH68)&lt;2,"",AVERAGE(AG68:AH68)))</f>
        <v/>
      </c>
      <c r="AX68" s="25">
        <f>IF($C68&lt;&gt;1,"",IF(COUNT(AA68:AH68)&lt;8,"",AVERAGE(AA68:AH68)))</f>
        <v/>
      </c>
      <c r="AY68" s="25">
        <f>IF($C68&lt;&gt;1,"",IF(COUNT(AI68:AL68)&lt;4,"",AVERAGE(AI68:AL68)))</f>
        <v/>
      </c>
      <c r="AZ68" s="9">
        <f>IF($C68&lt;&gt;1,"",IF(OR(K68="",M68=""),"",IF(AND(OR(K68=3,K68=4),M68=3),1,0)))</f>
        <v/>
      </c>
      <c r="BA68" s="6" t="n">
        <v>1</v>
      </c>
      <c r="BB68" s="6" t="n"/>
    </row>
    <row r="69">
      <c r="A69" s="6" t="inlineStr">
        <is>
          <t>R068</t>
        </is>
      </c>
      <c r="B69" s="6" t="n">
        <v>69</v>
      </c>
      <c r="C69" s="6" t="n">
        <v>0</v>
      </c>
      <c r="D69" s="6" t="n">
        <v>2</v>
      </c>
      <c r="E69" s="6" t="n">
        <v>1</v>
      </c>
      <c r="F69" s="6" t="n">
        <v>45</v>
      </c>
      <c r="G69" s="6" t="n">
        <v>21</v>
      </c>
      <c r="H69" s="6" t="n">
        <v>1</v>
      </c>
      <c r="I69" s="6" t="n"/>
      <c r="J69" s="6" t="n">
        <v>4</v>
      </c>
      <c r="K69" s="6" t="n">
        <v>2</v>
      </c>
      <c r="L69" s="6" t="n"/>
      <c r="M69" s="6" t="n">
        <v>2</v>
      </c>
      <c r="N69" s="6" t="n">
        <v>2</v>
      </c>
      <c r="O69" s="6" t="n">
        <v>3</v>
      </c>
      <c r="P69" s="6" t="n">
        <v>3</v>
      </c>
      <c r="Q69" s="6" t="n">
        <v>3</v>
      </c>
      <c r="R69" s="6" t="n">
        <v>4</v>
      </c>
      <c r="S69" s="6" t="n">
        <v>4</v>
      </c>
      <c r="T69" s="6" t="n">
        <v>2</v>
      </c>
      <c r="U69" s="6" t="n">
        <v>2</v>
      </c>
      <c r="V69" s="6" t="n">
        <v>3</v>
      </c>
      <c r="W69" s="6" t="n">
        <v>5</v>
      </c>
      <c r="X69" s="6" t="n">
        <v>5</v>
      </c>
      <c r="Y69" s="6" t="n">
        <v>5</v>
      </c>
      <c r="Z69" s="6" t="n">
        <v>5</v>
      </c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25">
        <f>IF(COUNT(O69:V69)&lt;8,"",AVERAGE(O69:V69))</f>
        <v/>
      </c>
      <c r="AN69" s="25">
        <f>IF(COUNT(O69:O69)&lt;1,"",AVERAGE(O69:O69))</f>
        <v/>
      </c>
      <c r="AO69" s="25">
        <f>IF(COUNT(P69:P69)&lt;1,"",AVERAGE(P69:P69))</f>
        <v/>
      </c>
      <c r="AP69" s="25">
        <f>IF(COUNT(Q69:R69)&lt;2,"",AVERAGE(Q69:R69))</f>
        <v/>
      </c>
      <c r="AQ69" s="25">
        <f>IF(COUNT(S69:T69)&lt;2,"",AVERAGE(S69:T69))</f>
        <v/>
      </c>
      <c r="AR69" s="25">
        <f>IF(COUNT(U69:V69)&lt;2,"",AVERAGE(U69:V69))</f>
        <v/>
      </c>
      <c r="AS69" s="25">
        <f>IF(COUNT(W69:Z69)&lt;4,"",AVERAGE(W69:Z69))</f>
        <v/>
      </c>
      <c r="AT69" s="25">
        <f>IF($C69&lt;&gt;1,"",IF(COUNT(AA69:AB69)&lt;2,"",AVERAGE(AA69:AB69)))</f>
        <v/>
      </c>
      <c r="AU69" s="25">
        <f>IF($C69&lt;&gt;1,"",IF(COUNT(AC69:AD69)&lt;2,"",AVERAGE(AC69:AD69)))</f>
        <v/>
      </c>
      <c r="AV69" s="25">
        <f>IF($C69&lt;&gt;1,"",IF(COUNT(AE69:AF69)&lt;2,"",AVERAGE(AE69:AF69)))</f>
        <v/>
      </c>
      <c r="AW69" s="25">
        <f>IF($C69&lt;&gt;1,"",IF(COUNT(AG69:AH69)&lt;2,"",AVERAGE(AG69:AH69)))</f>
        <v/>
      </c>
      <c r="AX69" s="25">
        <f>IF($C69&lt;&gt;1,"",IF(COUNT(AA69:AH69)&lt;8,"",AVERAGE(AA69:AH69)))</f>
        <v/>
      </c>
      <c r="AY69" s="25">
        <f>IF($C69&lt;&gt;1,"",IF(COUNT(AI69:AL69)&lt;4,"",AVERAGE(AI69:AL69)))</f>
        <v/>
      </c>
      <c r="AZ69" s="9">
        <f>IF($C69&lt;&gt;1,"",IF(OR(K69="",M69=""),"",IF(AND(OR(K69=3,K69=4),M69=3),1,0)))</f>
        <v/>
      </c>
      <c r="BA69" s="6" t="n">
        <v>1</v>
      </c>
      <c r="BB69" s="6" t="n"/>
    </row>
    <row r="70">
      <c r="A70" s="6" t="inlineStr">
        <is>
          <t>R069</t>
        </is>
      </c>
      <c r="B70" s="6" t="n">
        <v>70</v>
      </c>
      <c r="C70" s="6" t="n">
        <v>0</v>
      </c>
      <c r="D70" s="6" t="n">
        <v>1</v>
      </c>
      <c r="E70" s="6" t="n">
        <v>1</v>
      </c>
      <c r="F70" s="6" t="n">
        <v>67</v>
      </c>
      <c r="G70" s="6" t="n">
        <v>10</v>
      </c>
      <c r="H70" s="6" t="n">
        <v>2</v>
      </c>
      <c r="I70" s="6" t="n"/>
      <c r="J70" s="6" t="n">
        <v>4</v>
      </c>
      <c r="K70" s="6" t="n">
        <v>2</v>
      </c>
      <c r="L70" s="6" t="n"/>
      <c r="M70" s="6" t="n">
        <v>2</v>
      </c>
      <c r="N70" s="6" t="n">
        <v>2</v>
      </c>
      <c r="O70" s="6" t="n">
        <v>3</v>
      </c>
      <c r="P70" s="6" t="n">
        <v>4</v>
      </c>
      <c r="Q70" s="6" t="n">
        <v>2</v>
      </c>
      <c r="R70" s="6" t="n">
        <v>3</v>
      </c>
      <c r="S70" s="6" t="n">
        <v>2</v>
      </c>
      <c r="T70" s="6" t="n">
        <v>3</v>
      </c>
      <c r="U70" s="6" t="n">
        <v>4</v>
      </c>
      <c r="V70" s="6" t="n">
        <v>3</v>
      </c>
      <c r="W70" s="6" t="n">
        <v>4</v>
      </c>
      <c r="X70" s="6" t="n">
        <v>4</v>
      </c>
      <c r="Y70" s="6" t="n">
        <v>4</v>
      </c>
      <c r="Z70" s="6" t="n">
        <v>3</v>
      </c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25">
        <f>IF(COUNT(O70:V70)&lt;8,"",AVERAGE(O70:V70))</f>
        <v/>
      </c>
      <c r="AN70" s="25">
        <f>IF(COUNT(O70:O70)&lt;1,"",AVERAGE(O70:O70))</f>
        <v/>
      </c>
      <c r="AO70" s="25">
        <f>IF(COUNT(P70:P70)&lt;1,"",AVERAGE(P70:P70))</f>
        <v/>
      </c>
      <c r="AP70" s="25">
        <f>IF(COUNT(Q70:R70)&lt;2,"",AVERAGE(Q70:R70))</f>
        <v/>
      </c>
      <c r="AQ70" s="25">
        <f>IF(COUNT(S70:T70)&lt;2,"",AVERAGE(S70:T70))</f>
        <v/>
      </c>
      <c r="AR70" s="25">
        <f>IF(COUNT(U70:V70)&lt;2,"",AVERAGE(U70:V70))</f>
        <v/>
      </c>
      <c r="AS70" s="25">
        <f>IF(COUNT(W70:Z70)&lt;4,"",AVERAGE(W70:Z70))</f>
        <v/>
      </c>
      <c r="AT70" s="25">
        <f>IF($C70&lt;&gt;1,"",IF(COUNT(AA70:AB70)&lt;2,"",AVERAGE(AA70:AB70)))</f>
        <v/>
      </c>
      <c r="AU70" s="25">
        <f>IF($C70&lt;&gt;1,"",IF(COUNT(AC70:AD70)&lt;2,"",AVERAGE(AC70:AD70)))</f>
        <v/>
      </c>
      <c r="AV70" s="25">
        <f>IF($C70&lt;&gt;1,"",IF(COUNT(AE70:AF70)&lt;2,"",AVERAGE(AE70:AF70)))</f>
        <v/>
      </c>
      <c r="AW70" s="25">
        <f>IF($C70&lt;&gt;1,"",IF(COUNT(AG70:AH70)&lt;2,"",AVERAGE(AG70:AH70)))</f>
        <v/>
      </c>
      <c r="AX70" s="25">
        <f>IF($C70&lt;&gt;1,"",IF(COUNT(AA70:AH70)&lt;8,"",AVERAGE(AA70:AH70)))</f>
        <v/>
      </c>
      <c r="AY70" s="25">
        <f>IF($C70&lt;&gt;1,"",IF(COUNT(AI70:AL70)&lt;4,"",AVERAGE(AI70:AL70)))</f>
        <v/>
      </c>
      <c r="AZ70" s="9">
        <f>IF($C70&lt;&gt;1,"",IF(OR(K70="",M70=""),"",IF(AND(OR(K70=3,K70=4),M70=3),1,0)))</f>
        <v/>
      </c>
      <c r="BA70" s="6" t="n">
        <v>1</v>
      </c>
      <c r="BB70" s="6" t="n"/>
    </row>
    <row r="71">
      <c r="A71" s="6" t="inlineStr">
        <is>
          <t>R070</t>
        </is>
      </c>
      <c r="B71" s="6" t="n">
        <v>71</v>
      </c>
      <c r="C71" s="6" t="n">
        <v>1</v>
      </c>
      <c r="D71" s="6" t="n">
        <v>2</v>
      </c>
      <c r="E71" s="6" t="n">
        <v>1</v>
      </c>
      <c r="F71" s="6" t="n">
        <v>33</v>
      </c>
      <c r="G71" s="6" t="n">
        <v>6</v>
      </c>
      <c r="H71" s="6" t="n">
        <v>2</v>
      </c>
      <c r="I71" s="6" t="n"/>
      <c r="J71" s="6" t="n">
        <v>3</v>
      </c>
      <c r="K71" s="6" t="n">
        <v>3</v>
      </c>
      <c r="L71" s="6" t="n"/>
      <c r="M71" s="6" t="n">
        <v>4</v>
      </c>
      <c r="N71" s="6" t="n">
        <v>2</v>
      </c>
      <c r="O71" s="6" t="n">
        <v>5</v>
      </c>
      <c r="P71" s="6" t="n">
        <v>5</v>
      </c>
      <c r="Q71" s="6" t="n">
        <v>5</v>
      </c>
      <c r="R71" s="6" t="n">
        <v>5</v>
      </c>
      <c r="S71" s="6" t="n">
        <v>4</v>
      </c>
      <c r="T71" s="6" t="n">
        <v>2</v>
      </c>
      <c r="U71" s="6" t="n">
        <v>3</v>
      </c>
      <c r="V71" s="6" t="n">
        <v>5</v>
      </c>
      <c r="W71" s="6" t="n">
        <v>4</v>
      </c>
      <c r="X71" s="6" t="n">
        <v>5</v>
      </c>
      <c r="Y71" s="6" t="n">
        <v>5</v>
      </c>
      <c r="Z71" s="6" t="n">
        <v>5</v>
      </c>
      <c r="AA71" s="6" t="n">
        <v>1</v>
      </c>
      <c r="AB71" s="6" t="n">
        <v>3</v>
      </c>
      <c r="AC71" s="6" t="n">
        <v>3</v>
      </c>
      <c r="AD71" s="6" t="n">
        <v>3</v>
      </c>
      <c r="AE71" s="6" t="n">
        <v>3</v>
      </c>
      <c r="AF71" s="6" t="n">
        <v>3</v>
      </c>
      <c r="AG71" s="6" t="n">
        <v>3</v>
      </c>
      <c r="AH71" s="6" t="n">
        <v>4</v>
      </c>
      <c r="AI71" s="6" t="n">
        <v>3</v>
      </c>
      <c r="AJ71" s="6" t="n">
        <v>4</v>
      </c>
      <c r="AK71" s="6" t="n">
        <v>4</v>
      </c>
      <c r="AL71" s="6" t="n">
        <v>4</v>
      </c>
      <c r="AM71" s="25">
        <f>IF(COUNT(O71:V71)&lt;8,"",AVERAGE(O71:V71))</f>
        <v/>
      </c>
      <c r="AN71" s="25">
        <f>IF(COUNT(O71:O71)&lt;1,"",AVERAGE(O71:O71))</f>
        <v/>
      </c>
      <c r="AO71" s="25">
        <f>IF(COUNT(P71:P71)&lt;1,"",AVERAGE(P71:P71))</f>
        <v/>
      </c>
      <c r="AP71" s="25">
        <f>IF(COUNT(Q71:R71)&lt;2,"",AVERAGE(Q71:R71))</f>
        <v/>
      </c>
      <c r="AQ71" s="25">
        <f>IF(COUNT(S71:T71)&lt;2,"",AVERAGE(S71:T71))</f>
        <v/>
      </c>
      <c r="AR71" s="25">
        <f>IF(COUNT(U71:V71)&lt;2,"",AVERAGE(U71:V71))</f>
        <v/>
      </c>
      <c r="AS71" s="25">
        <f>IF(COUNT(W71:Z71)&lt;4,"",AVERAGE(W71:Z71))</f>
        <v/>
      </c>
      <c r="AT71" s="25">
        <f>IF($C71&lt;&gt;1,"",IF(COUNT(AA71:AB71)&lt;2,"",AVERAGE(AA71:AB71)))</f>
        <v/>
      </c>
      <c r="AU71" s="25">
        <f>IF($C71&lt;&gt;1,"",IF(COUNT(AC71:AD71)&lt;2,"",AVERAGE(AC71:AD71)))</f>
        <v/>
      </c>
      <c r="AV71" s="25">
        <f>IF($C71&lt;&gt;1,"",IF(COUNT(AE71:AF71)&lt;2,"",AVERAGE(AE71:AF71)))</f>
        <v/>
      </c>
      <c r="AW71" s="25">
        <f>IF($C71&lt;&gt;1,"",IF(COUNT(AG71:AH71)&lt;2,"",AVERAGE(AG71:AH71)))</f>
        <v/>
      </c>
      <c r="AX71" s="25">
        <f>IF($C71&lt;&gt;1,"",IF(COUNT(AA71:AH71)&lt;8,"",AVERAGE(AA71:AH71)))</f>
        <v/>
      </c>
      <c r="AY71" s="25">
        <f>IF($C71&lt;&gt;1,"",IF(COUNT(AI71:AL71)&lt;4,"",AVERAGE(AI71:AL71)))</f>
        <v/>
      </c>
      <c r="AZ71" s="9">
        <f>IF($C71&lt;&gt;1,"",IF(OR(K71="",M71=""),"",IF(AND(OR(K71=3,K71=4),M71=3),1,0)))</f>
        <v/>
      </c>
      <c r="BA71" s="6" t="n">
        <v>1</v>
      </c>
      <c r="BB71" s="6" t="n"/>
    </row>
    <row r="72">
      <c r="A72" s="6" t="inlineStr">
        <is>
          <t>R071</t>
        </is>
      </c>
      <c r="B72" s="6" t="n">
        <v>72</v>
      </c>
      <c r="C72" s="6" t="n">
        <v>1</v>
      </c>
      <c r="D72" s="6" t="n">
        <v>1</v>
      </c>
      <c r="E72" s="6" t="n">
        <v>1</v>
      </c>
      <c r="F72" s="6" t="n">
        <v>54</v>
      </c>
      <c r="G72" s="6" t="n">
        <v>18</v>
      </c>
      <c r="H72" s="6" t="n">
        <v>3</v>
      </c>
      <c r="I72" s="6" t="n"/>
      <c r="J72" s="6" t="n">
        <v>4</v>
      </c>
      <c r="K72" s="6" t="n">
        <v>4</v>
      </c>
      <c r="L72" s="6" t="n"/>
      <c r="M72" s="6" t="n">
        <v>3</v>
      </c>
      <c r="N72" s="6" t="n">
        <v>1</v>
      </c>
      <c r="O72" s="6" t="n">
        <v>4</v>
      </c>
      <c r="P72" s="6" t="n">
        <v>5</v>
      </c>
      <c r="Q72" s="6" t="n">
        <v>4</v>
      </c>
      <c r="R72" s="6" t="n">
        <v>5</v>
      </c>
      <c r="S72" s="6" t="n">
        <v>5</v>
      </c>
      <c r="T72" s="6" t="n">
        <v>5</v>
      </c>
      <c r="U72" s="6" t="n">
        <v>5</v>
      </c>
      <c r="V72" s="6" t="n">
        <v>5</v>
      </c>
      <c r="W72" s="6" t="n">
        <v>3</v>
      </c>
      <c r="X72" s="6" t="n">
        <v>3</v>
      </c>
      <c r="Y72" s="6" t="n">
        <v>3</v>
      </c>
      <c r="Z72" s="6" t="n">
        <v>3</v>
      </c>
      <c r="AA72" s="6" t="n">
        <v>4</v>
      </c>
      <c r="AB72" s="6" t="n">
        <v>4</v>
      </c>
      <c r="AC72" s="6" t="n">
        <v>4</v>
      </c>
      <c r="AD72" s="6" t="n">
        <v>4</v>
      </c>
      <c r="AE72" s="6" t="n">
        <v>4</v>
      </c>
      <c r="AF72" s="6" t="n">
        <v>4</v>
      </c>
      <c r="AG72" s="6" t="n">
        <v>4</v>
      </c>
      <c r="AH72" s="6" t="n">
        <v>4</v>
      </c>
      <c r="AI72" s="6" t="n">
        <v>4</v>
      </c>
      <c r="AJ72" s="6" t="n">
        <v>4</v>
      </c>
      <c r="AK72" s="6" t="n">
        <v>4</v>
      </c>
      <c r="AL72" s="6" t="n">
        <v>4</v>
      </c>
      <c r="AM72" s="25">
        <f>IF(COUNT(O72:V72)&lt;8,"",AVERAGE(O72:V72))</f>
        <v/>
      </c>
      <c r="AN72" s="25">
        <f>IF(COUNT(O72:O72)&lt;1,"",AVERAGE(O72:O72))</f>
        <v/>
      </c>
      <c r="AO72" s="25">
        <f>IF(COUNT(P72:P72)&lt;1,"",AVERAGE(P72:P72))</f>
        <v/>
      </c>
      <c r="AP72" s="25">
        <f>IF(COUNT(Q72:R72)&lt;2,"",AVERAGE(Q72:R72))</f>
        <v/>
      </c>
      <c r="AQ72" s="25">
        <f>IF(COUNT(S72:T72)&lt;2,"",AVERAGE(S72:T72))</f>
        <v/>
      </c>
      <c r="AR72" s="25">
        <f>IF(COUNT(U72:V72)&lt;2,"",AVERAGE(U72:V72))</f>
        <v/>
      </c>
      <c r="AS72" s="25">
        <f>IF(COUNT(W72:Z72)&lt;4,"",AVERAGE(W72:Z72))</f>
        <v/>
      </c>
      <c r="AT72" s="25">
        <f>IF($C72&lt;&gt;1,"",IF(COUNT(AA72:AB72)&lt;2,"",AVERAGE(AA72:AB72)))</f>
        <v/>
      </c>
      <c r="AU72" s="25">
        <f>IF($C72&lt;&gt;1,"",IF(COUNT(AC72:AD72)&lt;2,"",AVERAGE(AC72:AD72)))</f>
        <v/>
      </c>
      <c r="AV72" s="25">
        <f>IF($C72&lt;&gt;1,"",IF(COUNT(AE72:AF72)&lt;2,"",AVERAGE(AE72:AF72)))</f>
        <v/>
      </c>
      <c r="AW72" s="25">
        <f>IF($C72&lt;&gt;1,"",IF(COUNT(AG72:AH72)&lt;2,"",AVERAGE(AG72:AH72)))</f>
        <v/>
      </c>
      <c r="AX72" s="25">
        <f>IF($C72&lt;&gt;1,"",IF(COUNT(AA72:AH72)&lt;8,"",AVERAGE(AA72:AH72)))</f>
        <v/>
      </c>
      <c r="AY72" s="25">
        <f>IF($C72&lt;&gt;1,"",IF(COUNT(AI72:AL72)&lt;4,"",AVERAGE(AI72:AL72)))</f>
        <v/>
      </c>
      <c r="AZ72" s="9">
        <f>IF($C72&lt;&gt;1,"",IF(OR(K72="",M72=""),"",IF(AND(OR(K72=3,K72=4),M72=3),1,0)))</f>
        <v/>
      </c>
      <c r="BA72" s="6" t="n">
        <v>1</v>
      </c>
      <c r="BB72" s="6" t="n"/>
    </row>
    <row r="73">
      <c r="A73" s="6" t="inlineStr">
        <is>
          <t>R072</t>
        </is>
      </c>
      <c r="B73" s="6" t="n">
        <v>73</v>
      </c>
      <c r="C73" s="6" t="n">
        <v>1</v>
      </c>
      <c r="D73" s="6" t="n">
        <v>1</v>
      </c>
      <c r="E73" s="6" t="n">
        <v>1</v>
      </c>
      <c r="F73" s="6" t="n">
        <v>53</v>
      </c>
      <c r="G73" s="6" t="n">
        <v>25</v>
      </c>
      <c r="H73" s="6" t="n">
        <v>4</v>
      </c>
      <c r="I73" s="6" t="inlineStr">
        <is>
          <t>공무</t>
        </is>
      </c>
      <c r="J73" s="6" t="n">
        <v>3</v>
      </c>
      <c r="K73" s="6" t="n">
        <v>2</v>
      </c>
      <c r="L73" s="6" t="n"/>
      <c r="M73" s="6" t="n">
        <v>2</v>
      </c>
      <c r="N73" s="6" t="n">
        <v>4</v>
      </c>
      <c r="O73" s="6" t="n">
        <v>4</v>
      </c>
      <c r="P73" s="6" t="n">
        <v>4</v>
      </c>
      <c r="Q73" s="6" t="n">
        <v>4</v>
      </c>
      <c r="R73" s="6" t="n">
        <v>4</v>
      </c>
      <c r="S73" s="6" t="n">
        <v>4</v>
      </c>
      <c r="T73" s="6" t="n">
        <v>4</v>
      </c>
      <c r="U73" s="6" t="n">
        <v>4</v>
      </c>
      <c r="V73" s="6" t="n">
        <v>5</v>
      </c>
      <c r="W73" s="6" t="n">
        <v>2</v>
      </c>
      <c r="X73" s="6" t="n">
        <v>2</v>
      </c>
      <c r="Y73" s="6" t="n">
        <v>2</v>
      </c>
      <c r="Z73" s="6" t="n">
        <v>2</v>
      </c>
      <c r="AA73" s="6" t="n">
        <v>4</v>
      </c>
      <c r="AB73" s="6" t="n">
        <v>4</v>
      </c>
      <c r="AC73" s="6" t="n">
        <v>4</v>
      </c>
      <c r="AD73" s="6" t="n">
        <v>4</v>
      </c>
      <c r="AE73" s="6" t="n">
        <v>4</v>
      </c>
      <c r="AF73" s="6" t="n">
        <v>4</v>
      </c>
      <c r="AG73" s="6" t="n">
        <v>4</v>
      </c>
      <c r="AH73" s="6" t="n">
        <v>4</v>
      </c>
      <c r="AI73" s="6" t="n">
        <v>3</v>
      </c>
      <c r="AJ73" s="6" t="n">
        <v>4</v>
      </c>
      <c r="AK73" s="6" t="n">
        <v>4</v>
      </c>
      <c r="AL73" s="6" t="n">
        <v>3</v>
      </c>
      <c r="AM73" s="25">
        <f>IF(COUNT(O73:V73)&lt;8,"",AVERAGE(O73:V73))</f>
        <v/>
      </c>
      <c r="AN73" s="25">
        <f>IF(COUNT(O73:O73)&lt;1,"",AVERAGE(O73:O73))</f>
        <v/>
      </c>
      <c r="AO73" s="25">
        <f>IF(COUNT(P73:P73)&lt;1,"",AVERAGE(P73:P73))</f>
        <v/>
      </c>
      <c r="AP73" s="25">
        <f>IF(COUNT(Q73:R73)&lt;2,"",AVERAGE(Q73:R73))</f>
        <v/>
      </c>
      <c r="AQ73" s="25">
        <f>IF(COUNT(S73:T73)&lt;2,"",AVERAGE(S73:T73))</f>
        <v/>
      </c>
      <c r="AR73" s="25">
        <f>IF(COUNT(U73:V73)&lt;2,"",AVERAGE(U73:V73))</f>
        <v/>
      </c>
      <c r="AS73" s="25">
        <f>IF(COUNT(W73:Z73)&lt;4,"",AVERAGE(W73:Z73))</f>
        <v/>
      </c>
      <c r="AT73" s="25">
        <f>IF($C73&lt;&gt;1,"",IF(COUNT(AA73:AB73)&lt;2,"",AVERAGE(AA73:AB73)))</f>
        <v/>
      </c>
      <c r="AU73" s="25">
        <f>IF($C73&lt;&gt;1,"",IF(COUNT(AC73:AD73)&lt;2,"",AVERAGE(AC73:AD73)))</f>
        <v/>
      </c>
      <c r="AV73" s="25">
        <f>IF($C73&lt;&gt;1,"",IF(COUNT(AE73:AF73)&lt;2,"",AVERAGE(AE73:AF73)))</f>
        <v/>
      </c>
      <c r="AW73" s="25">
        <f>IF($C73&lt;&gt;1,"",IF(COUNT(AG73:AH73)&lt;2,"",AVERAGE(AG73:AH73)))</f>
        <v/>
      </c>
      <c r="AX73" s="25">
        <f>IF($C73&lt;&gt;1,"",IF(COUNT(AA73:AH73)&lt;8,"",AVERAGE(AA73:AH73)))</f>
        <v/>
      </c>
      <c r="AY73" s="25">
        <f>IF($C73&lt;&gt;1,"",IF(COUNT(AI73:AL73)&lt;4,"",AVERAGE(AI73:AL73)))</f>
        <v/>
      </c>
      <c r="AZ73" s="9">
        <f>IF($C73&lt;&gt;1,"",IF(OR(K73="",M73=""),"",IF(AND(OR(K73=3,K73=4),M73=3),1,0)))</f>
        <v/>
      </c>
      <c r="BA73" s="6" t="n">
        <v>1</v>
      </c>
      <c r="BB73" s="6" t="n"/>
    </row>
    <row r="74">
      <c r="A74" s="6" t="inlineStr">
        <is>
          <t>R073</t>
        </is>
      </c>
      <c r="B74" s="6" t="n">
        <v>74</v>
      </c>
      <c r="C74" s="6" t="n">
        <v>0</v>
      </c>
      <c r="D74" s="6" t="n">
        <v>2</v>
      </c>
      <c r="E74" s="6" t="n">
        <v>1</v>
      </c>
      <c r="F74" s="6" t="n">
        <v>37</v>
      </c>
      <c r="G74" s="6" t="n">
        <v>2</v>
      </c>
      <c r="H74" s="6" t="n">
        <v>4</v>
      </c>
      <c r="I74" s="6" t="inlineStr">
        <is>
          <t>설계자</t>
        </is>
      </c>
      <c r="J74" s="6" t="n">
        <v>4</v>
      </c>
      <c r="K74" s="6" t="n">
        <v>2</v>
      </c>
      <c r="L74" s="6" t="n"/>
      <c r="M74" s="6" t="n">
        <v>4</v>
      </c>
      <c r="N74" s="6" t="n">
        <v>3</v>
      </c>
      <c r="O74" s="6" t="n">
        <v>1</v>
      </c>
      <c r="P74" s="6" t="n">
        <v>5</v>
      </c>
      <c r="Q74" s="6" t="n">
        <v>3</v>
      </c>
      <c r="R74" s="6" t="n">
        <v>1</v>
      </c>
      <c r="S74" s="6" t="n">
        <v>5</v>
      </c>
      <c r="T74" s="6" t="n">
        <v>2</v>
      </c>
      <c r="U74" s="6" t="n">
        <v>3</v>
      </c>
      <c r="V74" s="6" t="n">
        <v>2</v>
      </c>
      <c r="W74" s="6" t="n">
        <v>5</v>
      </c>
      <c r="X74" s="6" t="n">
        <v>5</v>
      </c>
      <c r="Y74" s="6" t="n">
        <v>5</v>
      </c>
      <c r="Z74" s="6" t="n">
        <v>4</v>
      </c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25">
        <f>IF(COUNT(O74:V74)&lt;8,"",AVERAGE(O74:V74))</f>
        <v/>
      </c>
      <c r="AN74" s="25">
        <f>IF(COUNT(O74:O74)&lt;1,"",AVERAGE(O74:O74))</f>
        <v/>
      </c>
      <c r="AO74" s="25">
        <f>IF(COUNT(P74:P74)&lt;1,"",AVERAGE(P74:P74))</f>
        <v/>
      </c>
      <c r="AP74" s="25">
        <f>IF(COUNT(Q74:R74)&lt;2,"",AVERAGE(Q74:R74))</f>
        <v/>
      </c>
      <c r="AQ74" s="25">
        <f>IF(COUNT(S74:T74)&lt;2,"",AVERAGE(S74:T74))</f>
        <v/>
      </c>
      <c r="AR74" s="25">
        <f>IF(COUNT(U74:V74)&lt;2,"",AVERAGE(U74:V74))</f>
        <v/>
      </c>
      <c r="AS74" s="25">
        <f>IF(COUNT(W74:Z74)&lt;4,"",AVERAGE(W74:Z74))</f>
        <v/>
      </c>
      <c r="AT74" s="25">
        <f>IF($C74&lt;&gt;1,"",IF(COUNT(AA74:AB74)&lt;2,"",AVERAGE(AA74:AB74)))</f>
        <v/>
      </c>
      <c r="AU74" s="25">
        <f>IF($C74&lt;&gt;1,"",IF(COUNT(AC74:AD74)&lt;2,"",AVERAGE(AC74:AD74)))</f>
        <v/>
      </c>
      <c r="AV74" s="25">
        <f>IF($C74&lt;&gt;1,"",IF(COUNT(AE74:AF74)&lt;2,"",AVERAGE(AE74:AF74)))</f>
        <v/>
      </c>
      <c r="AW74" s="25">
        <f>IF($C74&lt;&gt;1,"",IF(COUNT(AG74:AH74)&lt;2,"",AVERAGE(AG74:AH74)))</f>
        <v/>
      </c>
      <c r="AX74" s="25">
        <f>IF($C74&lt;&gt;1,"",IF(COUNT(AA74:AH74)&lt;8,"",AVERAGE(AA74:AH74)))</f>
        <v/>
      </c>
      <c r="AY74" s="25">
        <f>IF($C74&lt;&gt;1,"",IF(COUNT(AI74:AL74)&lt;4,"",AVERAGE(AI74:AL74)))</f>
        <v/>
      </c>
      <c r="AZ74" s="9">
        <f>IF($C74&lt;&gt;1,"",IF(OR(K74="",M74=""),"",IF(AND(OR(K74=3,K74=4),M74=3),1,0)))</f>
        <v/>
      </c>
      <c r="BA74" s="6" t="n">
        <v>1</v>
      </c>
      <c r="BB74" s="6" t="n"/>
    </row>
  </sheetData>
  <autoFilter ref="A1:BB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7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"/>
  <cols>
    <col width="9.33203125" customWidth="1" min="1" max="1"/>
    <col width="7.25" customWidth="1" min="2" max="2"/>
    <col width="10.4140625" customWidth="1" min="3" max="3"/>
    <col width="8.33203125" customWidth="1" min="4" max="6"/>
    <col width="9.33203125" customWidth="1" min="7" max="7"/>
    <col width="19.33203125" customWidth="1" min="8" max="8"/>
    <col width="9.33203125" customWidth="1" min="9" max="10"/>
    <col width="24" customWidth="1" min="11" max="11"/>
    <col width="9.33203125" customWidth="1" min="12" max="12"/>
    <col width="8.33203125" customWidth="1" min="13" max="13"/>
    <col width="6" customWidth="1" min="14" max="37"/>
    <col width="10" customWidth="1" min="38" max="38"/>
    <col width="6" customWidth="1" min="39" max="40"/>
    <col width="10" customWidth="1" min="41" max="50"/>
    <col width="10.4140625" customWidth="1" min="51" max="51"/>
    <col width="9.33203125" customWidth="1" min="52" max="52"/>
    <col width="24" customWidth="1" min="53" max="53"/>
  </cols>
  <sheetData>
    <row r="1">
      <c r="A1" s="4" t="inlineStr">
        <is>
          <t>resp_id</t>
        </is>
      </c>
      <c r="B1" s="4" t="inlineStr">
        <is>
          <t>group</t>
        </is>
      </c>
      <c r="C1" s="4" t="inlineStr">
        <is>
          <t>A1_affil</t>
        </is>
      </c>
      <c r="D1" s="4" t="inlineStr">
        <is>
          <t>A2_sex</t>
        </is>
      </c>
      <c r="E1" s="4" t="inlineStr">
        <is>
          <t>A3_age</t>
        </is>
      </c>
      <c r="F1" s="4" t="inlineStr">
        <is>
          <t>A4_exp</t>
        </is>
      </c>
      <c r="G1" s="4" t="inlineStr">
        <is>
          <t>A5_role</t>
        </is>
      </c>
      <c r="H1" s="4" t="inlineStr">
        <is>
          <t>A5_role_other</t>
        </is>
      </c>
      <c r="I1" s="4" t="inlineStr">
        <is>
          <t>A6_cost</t>
        </is>
      </c>
      <c r="J1" s="4" t="inlineStr">
        <is>
          <t>A7_path</t>
        </is>
      </c>
      <c r="K1" s="4" t="inlineStr">
        <is>
          <t>A7_path_other</t>
        </is>
      </c>
      <c r="L1" s="4" t="inlineStr">
        <is>
          <t>A8_when</t>
        </is>
      </c>
      <c r="M1" s="4" t="inlineStr">
        <is>
          <t>A9_lag</t>
        </is>
      </c>
      <c r="N1" s="4" t="inlineStr">
        <is>
          <t>B1</t>
        </is>
      </c>
      <c r="O1" s="4" t="inlineStr">
        <is>
          <t>B2</t>
        </is>
      </c>
      <c r="P1" s="4" t="inlineStr">
        <is>
          <t>B3</t>
        </is>
      </c>
      <c r="Q1" s="4" t="inlineStr">
        <is>
          <t>B4</t>
        </is>
      </c>
      <c r="R1" s="4" t="inlineStr">
        <is>
          <t>B5</t>
        </is>
      </c>
      <c r="S1" s="4" t="inlineStr">
        <is>
          <t>B6</t>
        </is>
      </c>
      <c r="T1" s="4" t="inlineStr">
        <is>
          <t>B7</t>
        </is>
      </c>
      <c r="U1" s="4" t="inlineStr">
        <is>
          <t>B8</t>
        </is>
      </c>
      <c r="V1" s="4" t="inlineStr">
        <is>
          <t>C1</t>
        </is>
      </c>
      <c r="W1" s="4" t="inlineStr">
        <is>
          <t>C2</t>
        </is>
      </c>
      <c r="X1" s="4" t="inlineStr">
        <is>
          <t>C3</t>
        </is>
      </c>
      <c r="Y1" s="4" t="inlineStr">
        <is>
          <t>C4</t>
        </is>
      </c>
      <c r="Z1" s="4" t="inlineStr">
        <is>
          <t>D1</t>
        </is>
      </c>
      <c r="AA1" s="4" t="inlineStr">
        <is>
          <t>D2</t>
        </is>
      </c>
      <c r="AB1" s="4" t="inlineStr">
        <is>
          <t>D3</t>
        </is>
      </c>
      <c r="AC1" s="4" t="inlineStr">
        <is>
          <t>D4</t>
        </is>
      </c>
      <c r="AD1" s="4" t="inlineStr">
        <is>
          <t>D5</t>
        </is>
      </c>
      <c r="AE1" s="4" t="inlineStr">
        <is>
          <t>D6</t>
        </is>
      </c>
      <c r="AF1" s="4" t="inlineStr">
        <is>
          <t>D7</t>
        </is>
      </c>
      <c r="AG1" s="4" t="inlineStr">
        <is>
          <t>D8</t>
        </is>
      </c>
      <c r="AH1" s="4" t="inlineStr">
        <is>
          <t>E1</t>
        </is>
      </c>
      <c r="AI1" s="4" t="inlineStr">
        <is>
          <t>E2</t>
        </is>
      </c>
      <c r="AJ1" s="4" t="inlineStr">
        <is>
          <t>E3</t>
        </is>
      </c>
      <c r="AK1" s="4" t="inlineStr">
        <is>
          <t>E4</t>
        </is>
      </c>
      <c r="AL1" s="4" t="inlineStr">
        <is>
          <t>Y_total</t>
        </is>
      </c>
      <c r="AM1" s="4" t="inlineStr">
        <is>
          <t>Y1</t>
        </is>
      </c>
      <c r="AN1" s="4" t="inlineStr">
        <is>
          <t>Y2</t>
        </is>
      </c>
      <c r="AO1" s="4" t="inlineStr">
        <is>
          <t>Y3</t>
        </is>
      </c>
      <c r="AP1" s="4" t="inlineStr">
        <is>
          <t>Y4</t>
        </is>
      </c>
      <c r="AQ1" s="4" t="inlineStr">
        <is>
          <t>Y5</t>
        </is>
      </c>
      <c r="AR1" s="4" t="inlineStr">
        <is>
          <t>W</t>
        </is>
      </c>
      <c r="AS1" s="4" t="inlineStr">
        <is>
          <t>D_sub1</t>
        </is>
      </c>
      <c r="AT1" s="4" t="inlineStr">
        <is>
          <t>D_sub2</t>
        </is>
      </c>
      <c r="AU1" s="4" t="inlineStr">
        <is>
          <t>D_sub3</t>
        </is>
      </c>
      <c r="AV1" s="4" t="inlineStr">
        <is>
          <t>D_sub4</t>
        </is>
      </c>
      <c r="AW1" s="4" t="inlineStr">
        <is>
          <t>D_total</t>
        </is>
      </c>
      <c r="AX1" s="4" t="inlineStr">
        <is>
          <t>E_total</t>
        </is>
      </c>
      <c r="AY1" s="4" t="inlineStr">
        <is>
          <t>sys_path</t>
        </is>
      </c>
      <c r="AZ1" s="4" t="inlineStr">
        <is>
          <t>include</t>
        </is>
      </c>
      <c r="BA1" s="4" t="inlineStr">
        <is>
          <t>exclude_reason</t>
        </is>
      </c>
    </row>
    <row r="2">
      <c r="A2" s="6" t="inlineStr">
        <is>
          <t>R001</t>
        </is>
      </c>
      <c r="B2" s="6" t="n">
        <v>1</v>
      </c>
      <c r="C2" s="6" t="n">
        <v>2</v>
      </c>
      <c r="D2" s="6" t="n">
        <v>1</v>
      </c>
      <c r="E2" s="6" t="n">
        <v>34</v>
      </c>
      <c r="F2" s="6" t="n">
        <v>6</v>
      </c>
      <c r="G2" s="6" t="n">
        <v>1</v>
      </c>
      <c r="H2" s="6" t="n"/>
      <c r="I2" s="6" t="n">
        <v>3</v>
      </c>
      <c r="J2" s="6" t="n">
        <v>3</v>
      </c>
      <c r="K2" s="6" t="n"/>
      <c r="L2" s="6" t="n">
        <v>3</v>
      </c>
      <c r="M2" s="6" t="n">
        <v>2</v>
      </c>
      <c r="N2" s="6" t="n">
        <v>3</v>
      </c>
      <c r="O2" s="6" t="n">
        <v>3</v>
      </c>
      <c r="P2" s="6" t="n">
        <v>3</v>
      </c>
      <c r="Q2" s="6" t="n">
        <v>3</v>
      </c>
      <c r="R2" s="6" t="n">
        <v>3</v>
      </c>
      <c r="S2" s="6" t="n">
        <v>3</v>
      </c>
      <c r="T2" s="6" t="n">
        <v>3</v>
      </c>
      <c r="U2" s="6" t="n">
        <v>3</v>
      </c>
      <c r="V2" s="6" t="n">
        <v>3</v>
      </c>
      <c r="W2" s="6" t="n">
        <v>3</v>
      </c>
      <c r="X2" s="6" t="n">
        <v>3</v>
      </c>
      <c r="Y2" s="6" t="n">
        <v>3</v>
      </c>
      <c r="Z2" s="6" t="n">
        <v>3</v>
      </c>
      <c r="AA2" s="6" t="n">
        <v>3</v>
      </c>
      <c r="AB2" s="6" t="n">
        <v>3</v>
      </c>
      <c r="AC2" s="6" t="n">
        <v>3</v>
      </c>
      <c r="AD2" s="6" t="n">
        <v>3</v>
      </c>
      <c r="AE2" s="6" t="n">
        <v>3</v>
      </c>
      <c r="AF2" s="6" t="n">
        <v>3</v>
      </c>
      <c r="AG2" s="6" t="n">
        <v>3</v>
      </c>
      <c r="AH2" s="6" t="n">
        <v>3</v>
      </c>
      <c r="AI2" s="6" t="n">
        <v>3</v>
      </c>
      <c r="AJ2" s="6" t="n">
        <v>3</v>
      </c>
      <c r="AK2" s="6" t="n">
        <v>3</v>
      </c>
      <c r="AL2" s="26" t="n">
        <v>3</v>
      </c>
      <c r="AM2" s="26" t="n">
        <v>3</v>
      </c>
      <c r="AN2" s="26" t="n">
        <v>3</v>
      </c>
      <c r="AO2" s="26" t="n">
        <v>3</v>
      </c>
      <c r="AP2" s="26" t="n">
        <v>3</v>
      </c>
      <c r="AQ2" s="26" t="n">
        <v>3</v>
      </c>
      <c r="AR2" s="26" t="n">
        <v>3</v>
      </c>
      <c r="AS2" s="26" t="n">
        <v>3</v>
      </c>
      <c r="AT2" s="26" t="n">
        <v>3</v>
      </c>
      <c r="AU2" s="26" t="n">
        <v>3</v>
      </c>
      <c r="AV2" s="26" t="n">
        <v>3</v>
      </c>
      <c r="AW2" s="26" t="n">
        <v>3</v>
      </c>
      <c r="AX2" s="26" t="n">
        <v>3</v>
      </c>
      <c r="AY2" s="6" t="n">
        <v>1</v>
      </c>
      <c r="AZ2" s="6" t="n">
        <v>0</v>
      </c>
      <c r="BA2" s="6" t="inlineStr">
        <is>
          <t>시험 응답(현장명 '테스트')</t>
        </is>
      </c>
    </row>
    <row r="3">
      <c r="A3" s="6" t="inlineStr">
        <is>
          <t>R002</t>
        </is>
      </c>
      <c r="B3" s="6" t="n">
        <v>1</v>
      </c>
      <c r="C3" s="6" t="n">
        <v>2</v>
      </c>
      <c r="D3" s="6" t="n">
        <v>1</v>
      </c>
      <c r="E3" s="6" t="n">
        <v>38</v>
      </c>
      <c r="F3" s="6" t="n">
        <v>11</v>
      </c>
      <c r="G3" s="6" t="n">
        <v>1</v>
      </c>
      <c r="H3" s="6" t="n"/>
      <c r="I3" s="6" t="n">
        <v>1</v>
      </c>
      <c r="J3" s="6" t="n">
        <v>1</v>
      </c>
      <c r="K3" s="6" t="n"/>
      <c r="L3" s="6" t="n">
        <v>1</v>
      </c>
      <c r="M3" s="6" t="n">
        <v>1</v>
      </c>
      <c r="N3" s="6" t="n">
        <v>5</v>
      </c>
      <c r="O3" s="6" t="n">
        <v>5</v>
      </c>
      <c r="P3" s="6" t="n">
        <v>5</v>
      </c>
      <c r="Q3" s="6" t="n">
        <v>5</v>
      </c>
      <c r="R3" s="6" t="n">
        <v>5</v>
      </c>
      <c r="S3" s="6" t="n">
        <v>5</v>
      </c>
      <c r="T3" s="6" t="n">
        <v>5</v>
      </c>
      <c r="U3" s="6" t="n">
        <v>5</v>
      </c>
      <c r="V3" s="6" t="n">
        <v>5</v>
      </c>
      <c r="W3" s="6" t="n">
        <v>5</v>
      </c>
      <c r="X3" s="6" t="n">
        <v>5</v>
      </c>
      <c r="Y3" s="6" t="n">
        <v>5</v>
      </c>
      <c r="Z3" s="6" t="n">
        <v>5</v>
      </c>
      <c r="AA3" s="6" t="n">
        <v>5</v>
      </c>
      <c r="AB3" s="6" t="n">
        <v>5</v>
      </c>
      <c r="AC3" s="6" t="n">
        <v>5</v>
      </c>
      <c r="AD3" s="6" t="n">
        <v>5</v>
      </c>
      <c r="AE3" s="6" t="n">
        <v>5</v>
      </c>
      <c r="AF3" s="6" t="n">
        <v>5</v>
      </c>
      <c r="AG3" s="6" t="n">
        <v>5</v>
      </c>
      <c r="AH3" s="6" t="n">
        <v>5</v>
      </c>
      <c r="AI3" s="6" t="n">
        <v>5</v>
      </c>
      <c r="AJ3" s="6" t="n">
        <v>5</v>
      </c>
      <c r="AK3" s="6" t="n">
        <v>5</v>
      </c>
      <c r="AL3" s="26" t="n">
        <v>5</v>
      </c>
      <c r="AM3" s="26" t="n">
        <v>5</v>
      </c>
      <c r="AN3" s="26" t="n">
        <v>5</v>
      </c>
      <c r="AO3" s="26" t="n">
        <v>5</v>
      </c>
      <c r="AP3" s="26" t="n">
        <v>5</v>
      </c>
      <c r="AQ3" s="26" t="n">
        <v>5</v>
      </c>
      <c r="AR3" s="26" t="n">
        <v>5</v>
      </c>
      <c r="AS3" s="26" t="n">
        <v>5</v>
      </c>
      <c r="AT3" s="26" t="n">
        <v>5</v>
      </c>
      <c r="AU3" s="26" t="n">
        <v>5</v>
      </c>
      <c r="AV3" s="26" t="n">
        <v>5</v>
      </c>
      <c r="AW3" s="26" t="n">
        <v>5</v>
      </c>
      <c r="AX3" s="26" t="n">
        <v>5</v>
      </c>
      <c r="AY3" s="6" t="n">
        <v>0</v>
      </c>
      <c r="AZ3" s="6" t="n">
        <v>0</v>
      </c>
      <c r="BA3" s="6" t="inlineStr">
        <is>
          <t>연구자 본인 시험 응답(현장명 '없음')</t>
        </is>
      </c>
    </row>
    <row r="4">
      <c r="A4" s="6" t="inlineStr">
        <is>
          <t>R003</t>
        </is>
      </c>
      <c r="B4" s="6" t="n">
        <v>0</v>
      </c>
      <c r="C4" s="6" t="n">
        <v>1</v>
      </c>
      <c r="D4" s="6" t="n">
        <v>1</v>
      </c>
      <c r="E4" s="6" t="n">
        <v>58</v>
      </c>
      <c r="F4" s="6" t="n">
        <v>35</v>
      </c>
      <c r="G4" s="6" t="n">
        <v>3</v>
      </c>
      <c r="H4" s="6" t="n"/>
      <c r="I4" s="6" t="n">
        <v>2</v>
      </c>
      <c r="J4" s="6" t="n">
        <v>2</v>
      </c>
      <c r="K4" s="6" t="n"/>
      <c r="L4" s="6" t="n">
        <v>2</v>
      </c>
      <c r="M4" s="6" t="n">
        <v>2</v>
      </c>
      <c r="N4" s="6" t="n">
        <v>3</v>
      </c>
      <c r="O4" s="6" t="n">
        <v>3</v>
      </c>
      <c r="P4" s="6" t="n">
        <v>2</v>
      </c>
      <c r="Q4" s="6" t="n">
        <v>2</v>
      </c>
      <c r="R4" s="6" t="n">
        <v>2</v>
      </c>
      <c r="S4" s="6" t="n">
        <v>3</v>
      </c>
      <c r="T4" s="6" t="n">
        <v>3</v>
      </c>
      <c r="U4" s="6" t="n">
        <v>4</v>
      </c>
      <c r="V4" s="6" t="n">
        <v>4</v>
      </c>
      <c r="W4" s="6" t="n">
        <v>4</v>
      </c>
      <c r="X4" s="6" t="n">
        <v>4</v>
      </c>
      <c r="Y4" s="6" t="n">
        <v>4</v>
      </c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26" t="n">
        <v>2.75</v>
      </c>
      <c r="AM4" s="26" t="n">
        <v>3</v>
      </c>
      <c r="AN4" s="26" t="n">
        <v>3</v>
      </c>
      <c r="AO4" s="26" t="n">
        <v>2</v>
      </c>
      <c r="AP4" s="26" t="n">
        <v>2.5</v>
      </c>
      <c r="AQ4" s="26" t="n">
        <v>3.5</v>
      </c>
      <c r="AR4" s="26" t="n">
        <v>4</v>
      </c>
      <c r="AS4" s="26" t="n"/>
      <c r="AT4" s="26" t="n"/>
      <c r="AU4" s="26" t="n"/>
      <c r="AV4" s="26" t="n"/>
      <c r="AW4" s="26" t="n"/>
      <c r="AX4" s="26" t="n"/>
      <c r="AY4" s="6" t="n"/>
      <c r="AZ4" s="6" t="n">
        <v>1</v>
      </c>
      <c r="BA4" s="6" t="n"/>
    </row>
    <row r="5">
      <c r="A5" s="6" t="inlineStr">
        <is>
          <t>R004</t>
        </is>
      </c>
      <c r="B5" s="6" t="n">
        <v>0</v>
      </c>
      <c r="C5" s="6" t="n">
        <v>1</v>
      </c>
      <c r="D5" s="6" t="n">
        <v>1</v>
      </c>
      <c r="E5" s="6" t="n">
        <v>63</v>
      </c>
      <c r="F5" s="6" t="n">
        <v>34</v>
      </c>
      <c r="G5" s="6" t="n">
        <v>3</v>
      </c>
      <c r="H5" s="6" t="n"/>
      <c r="I5" s="6" t="n">
        <v>3</v>
      </c>
      <c r="J5" s="6" t="n">
        <v>2</v>
      </c>
      <c r="K5" s="6" t="n"/>
      <c r="L5" s="6" t="n">
        <v>2</v>
      </c>
      <c r="M5" s="6" t="n">
        <v>2</v>
      </c>
      <c r="N5" s="6" t="n">
        <v>4</v>
      </c>
      <c r="O5" s="6" t="n">
        <v>4</v>
      </c>
      <c r="P5" s="6" t="n">
        <v>4</v>
      </c>
      <c r="Q5" s="6" t="n">
        <v>3</v>
      </c>
      <c r="R5" s="6" t="n">
        <v>3</v>
      </c>
      <c r="S5" s="6" t="n">
        <v>4</v>
      </c>
      <c r="T5" s="6" t="n">
        <v>4</v>
      </c>
      <c r="U5" s="6" t="n">
        <v>3</v>
      </c>
      <c r="V5" s="6" t="n">
        <v>3</v>
      </c>
      <c r="W5" s="6" t="n">
        <v>3</v>
      </c>
      <c r="X5" s="6" t="n">
        <v>3</v>
      </c>
      <c r="Y5" s="6" t="n">
        <v>3</v>
      </c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26" t="n">
        <v>3.625</v>
      </c>
      <c r="AM5" s="26" t="n">
        <v>4</v>
      </c>
      <c r="AN5" s="26" t="n">
        <v>4</v>
      </c>
      <c r="AO5" s="26" t="n">
        <v>3.5</v>
      </c>
      <c r="AP5" s="26" t="n">
        <v>3.5</v>
      </c>
      <c r="AQ5" s="26" t="n">
        <v>3.5</v>
      </c>
      <c r="AR5" s="26" t="n">
        <v>3</v>
      </c>
      <c r="AS5" s="26" t="n"/>
      <c r="AT5" s="26" t="n"/>
      <c r="AU5" s="26" t="n"/>
      <c r="AV5" s="26" t="n"/>
      <c r="AW5" s="26" t="n"/>
      <c r="AX5" s="26" t="n"/>
      <c r="AY5" s="6" t="n"/>
      <c r="AZ5" s="6" t="n">
        <v>1</v>
      </c>
      <c r="BA5" s="6" t="n"/>
    </row>
    <row r="6">
      <c r="A6" s="6" t="inlineStr">
        <is>
          <t>R005</t>
        </is>
      </c>
      <c r="B6" s="6" t="n">
        <v>1</v>
      </c>
      <c r="C6" s="6" t="n">
        <v>2</v>
      </c>
      <c r="D6" s="6" t="n">
        <v>1</v>
      </c>
      <c r="E6" s="6" t="n">
        <v>48</v>
      </c>
      <c r="F6" s="6" t="n">
        <v>9</v>
      </c>
      <c r="G6" s="6" t="n">
        <v>1</v>
      </c>
      <c r="H6" s="6" t="n"/>
      <c r="I6" s="6" t="n">
        <v>3</v>
      </c>
      <c r="J6" s="6" t="n">
        <v>2</v>
      </c>
      <c r="K6" s="6" t="n"/>
      <c r="L6" s="6" t="n">
        <v>1</v>
      </c>
      <c r="M6" s="6" t="n">
        <v>1</v>
      </c>
      <c r="N6" s="6" t="n">
        <v>3</v>
      </c>
      <c r="O6" s="6" t="n">
        <v>4</v>
      </c>
      <c r="P6" s="6" t="n">
        <v>3</v>
      </c>
      <c r="Q6" s="6" t="n">
        <v>4</v>
      </c>
      <c r="R6" s="6" t="n">
        <v>4</v>
      </c>
      <c r="S6" s="6" t="n">
        <v>4</v>
      </c>
      <c r="T6" s="6" t="n">
        <v>4</v>
      </c>
      <c r="U6" s="6" t="n">
        <v>4</v>
      </c>
      <c r="V6" s="6" t="n">
        <v>3</v>
      </c>
      <c r="W6" s="6" t="n">
        <v>3</v>
      </c>
      <c r="X6" s="6" t="n">
        <v>3</v>
      </c>
      <c r="Y6" s="6" t="n">
        <v>3</v>
      </c>
      <c r="Z6" s="6" t="n">
        <v>3</v>
      </c>
      <c r="AA6" s="6" t="n">
        <v>3</v>
      </c>
      <c r="AB6" s="6" t="n">
        <v>4</v>
      </c>
      <c r="AC6" s="6" t="n">
        <v>4</v>
      </c>
      <c r="AD6" s="6" t="n">
        <v>4</v>
      </c>
      <c r="AE6" s="6" t="n">
        <v>3</v>
      </c>
      <c r="AF6" s="6" t="n">
        <v>4</v>
      </c>
      <c r="AG6" s="6" t="n">
        <v>4</v>
      </c>
      <c r="AH6" s="6" t="n">
        <v>4</v>
      </c>
      <c r="AI6" s="6" t="n">
        <v>4</v>
      </c>
      <c r="AJ6" s="6" t="n">
        <v>4</v>
      </c>
      <c r="AK6" s="6" t="n">
        <v>4</v>
      </c>
      <c r="AL6" s="26" t="n">
        <v>3.75</v>
      </c>
      <c r="AM6" s="26" t="n">
        <v>3</v>
      </c>
      <c r="AN6" s="26" t="n">
        <v>4</v>
      </c>
      <c r="AO6" s="26" t="n">
        <v>3.5</v>
      </c>
      <c r="AP6" s="26" t="n">
        <v>4</v>
      </c>
      <c r="AQ6" s="26" t="n">
        <v>4</v>
      </c>
      <c r="AR6" s="26" t="n">
        <v>3</v>
      </c>
      <c r="AS6" s="26" t="n">
        <v>3</v>
      </c>
      <c r="AT6" s="26" t="n">
        <v>4</v>
      </c>
      <c r="AU6" s="26" t="n">
        <v>3.5</v>
      </c>
      <c r="AV6" s="26" t="n">
        <v>4</v>
      </c>
      <c r="AW6" s="26" t="n">
        <v>3.625</v>
      </c>
      <c r="AX6" s="26" t="n">
        <v>4</v>
      </c>
      <c r="AY6" s="6" t="n">
        <v>0</v>
      </c>
      <c r="AZ6" s="6" t="n">
        <v>1</v>
      </c>
      <c r="BA6" s="6" t="n"/>
    </row>
    <row r="7">
      <c r="A7" s="6" t="inlineStr">
        <is>
          <t>R006</t>
        </is>
      </c>
      <c r="B7" s="6" t="n">
        <v>1</v>
      </c>
      <c r="C7" s="6" t="n">
        <v>1</v>
      </c>
      <c r="D7" s="6" t="n">
        <v>1</v>
      </c>
      <c r="E7" s="6" t="n">
        <v>50</v>
      </c>
      <c r="F7" s="6" t="n">
        <v>25</v>
      </c>
      <c r="G7" s="6" t="n">
        <v>2</v>
      </c>
      <c r="H7" s="6" t="n"/>
      <c r="I7" s="6" t="n">
        <v>4</v>
      </c>
      <c r="J7" s="6" t="n">
        <v>2</v>
      </c>
      <c r="K7" s="6" t="n"/>
      <c r="L7" s="6" t="n">
        <v>1</v>
      </c>
      <c r="M7" s="6" t="n">
        <v>2</v>
      </c>
      <c r="N7" s="6" t="n">
        <v>3</v>
      </c>
      <c r="O7" s="6" t="n">
        <v>3</v>
      </c>
      <c r="P7" s="6" t="n">
        <v>4</v>
      </c>
      <c r="Q7" s="6" t="n">
        <v>4</v>
      </c>
      <c r="R7" s="6" t="n">
        <v>4</v>
      </c>
      <c r="S7" s="6" t="n">
        <v>4</v>
      </c>
      <c r="T7" s="6" t="n">
        <v>4</v>
      </c>
      <c r="U7" s="6" t="n">
        <v>4</v>
      </c>
      <c r="V7" s="6" t="n">
        <v>5</v>
      </c>
      <c r="W7" s="6" t="n">
        <v>5</v>
      </c>
      <c r="X7" s="6" t="n">
        <v>5</v>
      </c>
      <c r="Y7" s="6" t="n">
        <v>4</v>
      </c>
      <c r="Z7" s="6" t="n">
        <v>4</v>
      </c>
      <c r="AA7" s="6" t="n">
        <v>4</v>
      </c>
      <c r="AB7" s="6" t="n">
        <v>4</v>
      </c>
      <c r="AC7" s="6" t="n">
        <v>4</v>
      </c>
      <c r="AD7" s="6" t="n">
        <v>4</v>
      </c>
      <c r="AE7" s="6" t="n">
        <v>4</v>
      </c>
      <c r="AF7" s="6" t="n">
        <v>4</v>
      </c>
      <c r="AG7" s="6" t="n">
        <v>4</v>
      </c>
      <c r="AH7" s="6" t="n">
        <v>4</v>
      </c>
      <c r="AI7" s="6" t="n">
        <v>4</v>
      </c>
      <c r="AJ7" s="6" t="n">
        <v>4</v>
      </c>
      <c r="AK7" s="6" t="n">
        <v>4</v>
      </c>
      <c r="AL7" s="26" t="n">
        <v>3.75</v>
      </c>
      <c r="AM7" s="26" t="n">
        <v>3</v>
      </c>
      <c r="AN7" s="26" t="n">
        <v>3</v>
      </c>
      <c r="AO7" s="26" t="n">
        <v>4</v>
      </c>
      <c r="AP7" s="26" t="n">
        <v>4</v>
      </c>
      <c r="AQ7" s="26" t="n">
        <v>4</v>
      </c>
      <c r="AR7" s="26" t="n">
        <v>4.75</v>
      </c>
      <c r="AS7" s="26" t="n">
        <v>4</v>
      </c>
      <c r="AT7" s="26" t="n">
        <v>4</v>
      </c>
      <c r="AU7" s="26" t="n">
        <v>4</v>
      </c>
      <c r="AV7" s="26" t="n">
        <v>4</v>
      </c>
      <c r="AW7" s="26" t="n">
        <v>4</v>
      </c>
      <c r="AX7" s="26" t="n">
        <v>4</v>
      </c>
      <c r="AY7" s="6" t="n">
        <v>0</v>
      </c>
      <c r="AZ7" s="6" t="n">
        <v>1</v>
      </c>
      <c r="BA7" s="6" t="n"/>
    </row>
    <row r="8">
      <c r="A8" s="6" t="inlineStr">
        <is>
          <t>R007</t>
        </is>
      </c>
      <c r="B8" s="6" t="n">
        <v>0</v>
      </c>
      <c r="C8" s="6" t="n">
        <v>1</v>
      </c>
      <c r="D8" s="6" t="n">
        <v>1</v>
      </c>
      <c r="E8" s="6" t="n">
        <v>51</v>
      </c>
      <c r="F8" s="6" t="n">
        <v>26</v>
      </c>
      <c r="G8" s="6" t="n">
        <v>2</v>
      </c>
      <c r="H8" s="6" t="n"/>
      <c r="I8" s="6" t="n">
        <v>4</v>
      </c>
      <c r="J8" s="6" t="n">
        <v>2</v>
      </c>
      <c r="K8" s="6" t="n"/>
      <c r="L8" s="6" t="n">
        <v>2</v>
      </c>
      <c r="M8" s="6" t="n">
        <v>1</v>
      </c>
      <c r="N8" s="6" t="n">
        <v>4</v>
      </c>
      <c r="O8" s="6" t="n">
        <v>4</v>
      </c>
      <c r="P8" s="6" t="n">
        <v>4</v>
      </c>
      <c r="Q8" s="6" t="n">
        <v>4</v>
      </c>
      <c r="R8" s="6" t="n">
        <v>3</v>
      </c>
      <c r="S8" s="6" t="n">
        <v>4</v>
      </c>
      <c r="T8" s="6" t="n">
        <v>4</v>
      </c>
      <c r="U8" s="6" t="n">
        <v>4</v>
      </c>
      <c r="V8" s="6" t="n">
        <v>4</v>
      </c>
      <c r="W8" s="6" t="n">
        <v>4</v>
      </c>
      <c r="X8" s="6" t="n">
        <v>4</v>
      </c>
      <c r="Y8" s="6" t="n">
        <v>4</v>
      </c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26" t="n">
        <v>3.875</v>
      </c>
      <c r="AM8" s="26" t="n">
        <v>4</v>
      </c>
      <c r="AN8" s="26" t="n">
        <v>4</v>
      </c>
      <c r="AO8" s="26" t="n">
        <v>4</v>
      </c>
      <c r="AP8" s="26" t="n">
        <v>3.5</v>
      </c>
      <c r="AQ8" s="26" t="n">
        <v>4</v>
      </c>
      <c r="AR8" s="26" t="n">
        <v>4</v>
      </c>
      <c r="AS8" s="26" t="n"/>
      <c r="AT8" s="26" t="n"/>
      <c r="AU8" s="26" t="n"/>
      <c r="AV8" s="26" t="n"/>
      <c r="AW8" s="26" t="n"/>
      <c r="AX8" s="26" t="n"/>
      <c r="AY8" s="6" t="n"/>
      <c r="AZ8" s="6" t="n">
        <v>1</v>
      </c>
      <c r="BA8" s="6" t="n"/>
    </row>
    <row r="9">
      <c r="A9" s="6" t="inlineStr">
        <is>
          <t>R008</t>
        </is>
      </c>
      <c r="B9" s="6" t="n">
        <v>0</v>
      </c>
      <c r="C9" s="6" t="n">
        <v>1</v>
      </c>
      <c r="D9" s="6" t="n">
        <v>1</v>
      </c>
      <c r="E9" s="6" t="n">
        <v>43</v>
      </c>
      <c r="F9" s="6" t="n">
        <v>1</v>
      </c>
      <c r="G9" s="6" t="n">
        <v>3</v>
      </c>
      <c r="H9" s="6" t="n"/>
      <c r="I9" s="6" t="n">
        <v>2</v>
      </c>
      <c r="J9" s="6" t="n">
        <v>2</v>
      </c>
      <c r="K9" s="6" t="n"/>
      <c r="L9" s="6" t="n">
        <v>2</v>
      </c>
      <c r="M9" s="6" t="n">
        <v>1</v>
      </c>
      <c r="N9" s="6" t="n">
        <v>4</v>
      </c>
      <c r="O9" s="6" t="n">
        <v>3</v>
      </c>
      <c r="P9" s="6" t="n">
        <v>3</v>
      </c>
      <c r="Q9" s="6" t="n">
        <v>4</v>
      </c>
      <c r="R9" s="6" t="n">
        <v>3</v>
      </c>
      <c r="S9" s="6" t="n">
        <v>2</v>
      </c>
      <c r="T9" s="6" t="n">
        <v>3</v>
      </c>
      <c r="U9" s="6" t="n">
        <v>4</v>
      </c>
      <c r="V9" s="6" t="n">
        <v>3</v>
      </c>
      <c r="W9" s="6" t="n">
        <v>4</v>
      </c>
      <c r="X9" s="6" t="n">
        <v>4</v>
      </c>
      <c r="Y9" s="6" t="n">
        <v>3</v>
      </c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26" t="n">
        <v>3.25</v>
      </c>
      <c r="AM9" s="26" t="n">
        <v>4</v>
      </c>
      <c r="AN9" s="26" t="n">
        <v>3</v>
      </c>
      <c r="AO9" s="26" t="n">
        <v>3.5</v>
      </c>
      <c r="AP9" s="26" t="n">
        <v>2.5</v>
      </c>
      <c r="AQ9" s="26" t="n">
        <v>3.5</v>
      </c>
      <c r="AR9" s="26" t="n">
        <v>3.5</v>
      </c>
      <c r="AS9" s="26" t="n"/>
      <c r="AT9" s="26" t="n"/>
      <c r="AU9" s="26" t="n"/>
      <c r="AV9" s="26" t="n"/>
      <c r="AW9" s="26" t="n"/>
      <c r="AX9" s="26" t="n"/>
      <c r="AY9" s="6" t="n"/>
      <c r="AZ9" s="6" t="n">
        <v>1</v>
      </c>
      <c r="BA9" s="6" t="n"/>
    </row>
    <row r="10">
      <c r="A10" s="6" t="inlineStr">
        <is>
          <t>R009</t>
        </is>
      </c>
      <c r="B10" s="6" t="n">
        <v>1</v>
      </c>
      <c r="C10" s="6" t="n">
        <v>2</v>
      </c>
      <c r="D10" s="6" t="n">
        <v>1</v>
      </c>
      <c r="E10" s="6" t="n">
        <v>32</v>
      </c>
      <c r="F10" s="6" t="n">
        <v>2</v>
      </c>
      <c r="G10" s="6" t="n">
        <v>1</v>
      </c>
      <c r="H10" s="6" t="n"/>
      <c r="I10" s="6" t="n">
        <v>3</v>
      </c>
      <c r="J10" s="6" t="n">
        <v>3</v>
      </c>
      <c r="K10" s="6" t="n"/>
      <c r="L10" s="6" t="n">
        <v>2</v>
      </c>
      <c r="M10" s="6" t="n">
        <v>3</v>
      </c>
      <c r="N10" s="6" t="n">
        <v>5</v>
      </c>
      <c r="O10" s="6" t="n">
        <v>5</v>
      </c>
      <c r="P10" s="6" t="n">
        <v>5</v>
      </c>
      <c r="Q10" s="6" t="n">
        <v>5</v>
      </c>
      <c r="R10" s="6" t="n">
        <v>5</v>
      </c>
      <c r="S10" s="6" t="n">
        <v>5</v>
      </c>
      <c r="T10" s="6" t="n">
        <v>5</v>
      </c>
      <c r="U10" s="6" t="n">
        <v>5</v>
      </c>
      <c r="V10" s="6" t="n">
        <v>3</v>
      </c>
      <c r="W10" s="6" t="n">
        <v>3</v>
      </c>
      <c r="X10" s="6" t="n">
        <v>2</v>
      </c>
      <c r="Y10" s="6" t="n">
        <v>2</v>
      </c>
      <c r="Z10" s="6" t="n">
        <v>5</v>
      </c>
      <c r="AA10" s="6" t="n">
        <v>5</v>
      </c>
      <c r="AB10" s="6" t="n">
        <v>5</v>
      </c>
      <c r="AC10" s="6" t="n">
        <v>5</v>
      </c>
      <c r="AD10" s="6" t="n">
        <v>5</v>
      </c>
      <c r="AE10" s="6" t="n">
        <v>5</v>
      </c>
      <c r="AF10" s="6" t="n">
        <v>5</v>
      </c>
      <c r="AG10" s="6" t="n">
        <v>5</v>
      </c>
      <c r="AH10" s="6" t="n">
        <v>5</v>
      </c>
      <c r="AI10" s="6" t="n">
        <v>5</v>
      </c>
      <c r="AJ10" s="6" t="n">
        <v>5</v>
      </c>
      <c r="AK10" s="6" t="n">
        <v>5</v>
      </c>
      <c r="AL10" s="26" t="n">
        <v>5</v>
      </c>
      <c r="AM10" s="26" t="n">
        <v>5</v>
      </c>
      <c r="AN10" s="26" t="n">
        <v>5</v>
      </c>
      <c r="AO10" s="26" t="n">
        <v>5</v>
      </c>
      <c r="AP10" s="26" t="n">
        <v>5</v>
      </c>
      <c r="AQ10" s="26" t="n">
        <v>5</v>
      </c>
      <c r="AR10" s="26" t="n">
        <v>2.5</v>
      </c>
      <c r="AS10" s="26" t="n">
        <v>5</v>
      </c>
      <c r="AT10" s="26" t="n">
        <v>5</v>
      </c>
      <c r="AU10" s="26" t="n">
        <v>5</v>
      </c>
      <c r="AV10" s="26" t="n">
        <v>5</v>
      </c>
      <c r="AW10" s="26" t="n">
        <v>5</v>
      </c>
      <c r="AX10" s="26" t="n">
        <v>5</v>
      </c>
      <c r="AY10" s="6" t="n">
        <v>0</v>
      </c>
      <c r="AZ10" s="6" t="n">
        <v>1</v>
      </c>
      <c r="BA10" s="6" t="n"/>
    </row>
    <row r="11">
      <c r="A11" s="6" t="inlineStr">
        <is>
          <t>R010</t>
        </is>
      </c>
      <c r="B11" s="6" t="n">
        <v>1</v>
      </c>
      <c r="C11" s="6" t="n">
        <v>2</v>
      </c>
      <c r="D11" s="6" t="n">
        <v>1</v>
      </c>
      <c r="E11" s="6" t="n">
        <v>32</v>
      </c>
      <c r="F11" s="6" t="n">
        <v>5</v>
      </c>
      <c r="G11" s="6" t="n">
        <v>1</v>
      </c>
      <c r="H11" s="6" t="n"/>
      <c r="I11" s="6" t="n">
        <v>2</v>
      </c>
      <c r="J11" s="6" t="n">
        <v>4</v>
      </c>
      <c r="K11" s="6" t="n"/>
      <c r="L11" s="6" t="n">
        <v>3</v>
      </c>
      <c r="M11" s="6" t="n">
        <v>2</v>
      </c>
      <c r="N11" s="6" t="n">
        <v>2</v>
      </c>
      <c r="O11" s="6" t="n">
        <v>3</v>
      </c>
      <c r="P11" s="6" t="n">
        <v>3</v>
      </c>
      <c r="Q11" s="6" t="n">
        <v>3</v>
      </c>
      <c r="R11" s="6" t="n">
        <v>3</v>
      </c>
      <c r="S11" s="6" t="n">
        <v>3</v>
      </c>
      <c r="T11" s="6" t="n">
        <v>4</v>
      </c>
      <c r="U11" s="6" t="n">
        <v>3</v>
      </c>
      <c r="V11" s="6" t="n">
        <v>4</v>
      </c>
      <c r="W11" s="6" t="n">
        <v>4</v>
      </c>
      <c r="X11" s="6" t="n">
        <v>4</v>
      </c>
      <c r="Y11" s="6" t="n">
        <v>4</v>
      </c>
      <c r="Z11" s="6" t="n">
        <v>4</v>
      </c>
      <c r="AA11" s="6" t="n">
        <v>3</v>
      </c>
      <c r="AB11" s="6" t="n">
        <v>3</v>
      </c>
      <c r="AC11" s="6" t="n">
        <v>3</v>
      </c>
      <c r="AD11" s="6" t="n">
        <v>2</v>
      </c>
      <c r="AE11" s="6" t="n">
        <v>2</v>
      </c>
      <c r="AF11" s="6" t="n">
        <v>4</v>
      </c>
      <c r="AG11" s="6" t="n">
        <v>3</v>
      </c>
      <c r="AH11" s="6" t="n">
        <v>3</v>
      </c>
      <c r="AI11" s="6" t="n">
        <v>3</v>
      </c>
      <c r="AJ11" s="6" t="n">
        <v>3</v>
      </c>
      <c r="AK11" s="6" t="n">
        <v>3</v>
      </c>
      <c r="AL11" s="26" t="n">
        <v>3</v>
      </c>
      <c r="AM11" s="26" t="n">
        <v>2</v>
      </c>
      <c r="AN11" s="26" t="n">
        <v>3</v>
      </c>
      <c r="AO11" s="26" t="n">
        <v>3</v>
      </c>
      <c r="AP11" s="26" t="n">
        <v>3</v>
      </c>
      <c r="AQ11" s="26" t="n">
        <v>3.5</v>
      </c>
      <c r="AR11" s="26" t="n">
        <v>4</v>
      </c>
      <c r="AS11" s="26" t="n">
        <v>3.5</v>
      </c>
      <c r="AT11" s="26" t="n">
        <v>3</v>
      </c>
      <c r="AU11" s="26" t="n">
        <v>2</v>
      </c>
      <c r="AV11" s="26" t="n">
        <v>3.5</v>
      </c>
      <c r="AW11" s="26" t="n">
        <v>3</v>
      </c>
      <c r="AX11" s="26" t="n">
        <v>3</v>
      </c>
      <c r="AY11" s="6" t="n">
        <v>1</v>
      </c>
      <c r="AZ11" s="6" t="n">
        <v>1</v>
      </c>
      <c r="BA11" s="6" t="n"/>
    </row>
    <row r="12">
      <c r="A12" s="6" t="inlineStr">
        <is>
          <t>R011</t>
        </is>
      </c>
      <c r="B12" s="6" t="n">
        <v>1</v>
      </c>
      <c r="C12" s="6" t="n">
        <v>2</v>
      </c>
      <c r="D12" s="6" t="n">
        <v>1</v>
      </c>
      <c r="E12" s="6" t="n">
        <v>49</v>
      </c>
      <c r="F12" s="6" t="n">
        <v>1</v>
      </c>
      <c r="G12" s="6" t="n">
        <v>1</v>
      </c>
      <c r="H12" s="6" t="n"/>
      <c r="I12" s="6" t="n">
        <v>3</v>
      </c>
      <c r="J12" s="6" t="n">
        <v>2</v>
      </c>
      <c r="K12" s="6" t="n"/>
      <c r="L12" s="6" t="n">
        <v>2</v>
      </c>
      <c r="M12" s="6" t="n">
        <v>2</v>
      </c>
      <c r="N12" s="6" t="n">
        <v>2</v>
      </c>
      <c r="O12" s="6" t="n">
        <v>3</v>
      </c>
      <c r="P12" s="6" t="n">
        <v>3</v>
      </c>
      <c r="Q12" s="6" t="n">
        <v>2</v>
      </c>
      <c r="R12" s="6" t="n">
        <v>5</v>
      </c>
      <c r="S12" s="6" t="n">
        <v>2</v>
      </c>
      <c r="T12" s="6" t="n">
        <v>3</v>
      </c>
      <c r="U12" s="6" t="n">
        <v>3</v>
      </c>
      <c r="V12" s="6" t="n">
        <v>2</v>
      </c>
      <c r="W12" s="6" t="n">
        <v>2</v>
      </c>
      <c r="X12" s="6" t="n">
        <v>2</v>
      </c>
      <c r="Y12" s="6" t="n">
        <v>2</v>
      </c>
      <c r="Z12" s="6" t="n">
        <v>4</v>
      </c>
      <c r="AA12" s="6" t="n">
        <v>4</v>
      </c>
      <c r="AB12" s="6" t="n">
        <v>4</v>
      </c>
      <c r="AC12" s="6" t="n">
        <v>4</v>
      </c>
      <c r="AD12" s="6" t="n">
        <v>3</v>
      </c>
      <c r="AE12" s="6" t="n">
        <v>3</v>
      </c>
      <c r="AF12" s="6" t="n">
        <v>4</v>
      </c>
      <c r="AG12" s="6" t="n">
        <v>4</v>
      </c>
      <c r="AH12" s="6" t="n">
        <v>3</v>
      </c>
      <c r="AI12" s="6" t="n">
        <v>3</v>
      </c>
      <c r="AJ12" s="6" t="n">
        <v>2</v>
      </c>
      <c r="AK12" s="6" t="n">
        <v>2</v>
      </c>
      <c r="AL12" s="26" t="n">
        <v>2.875</v>
      </c>
      <c r="AM12" s="26" t="n">
        <v>2</v>
      </c>
      <c r="AN12" s="26" t="n">
        <v>3</v>
      </c>
      <c r="AO12" s="26" t="n">
        <v>2.5</v>
      </c>
      <c r="AP12" s="26" t="n">
        <v>3.5</v>
      </c>
      <c r="AQ12" s="26" t="n">
        <v>3</v>
      </c>
      <c r="AR12" s="26" t="n">
        <v>2</v>
      </c>
      <c r="AS12" s="26" t="n">
        <v>4</v>
      </c>
      <c r="AT12" s="26" t="n">
        <v>4</v>
      </c>
      <c r="AU12" s="26" t="n">
        <v>3</v>
      </c>
      <c r="AV12" s="26" t="n">
        <v>4</v>
      </c>
      <c r="AW12" s="26" t="n">
        <v>3.75</v>
      </c>
      <c r="AX12" s="26" t="n">
        <v>2.5</v>
      </c>
      <c r="AY12" s="6" t="n">
        <v>0</v>
      </c>
      <c r="AZ12" s="6" t="n">
        <v>1</v>
      </c>
      <c r="BA12" s="6" t="n"/>
    </row>
    <row r="13">
      <c r="A13" s="6" t="inlineStr">
        <is>
          <t>R012</t>
        </is>
      </c>
      <c r="B13" s="6" t="n">
        <v>1</v>
      </c>
      <c r="C13" s="6" t="n">
        <v>2</v>
      </c>
      <c r="D13" s="6" t="n">
        <v>1</v>
      </c>
      <c r="E13" s="6" t="n">
        <v>30</v>
      </c>
      <c r="F13" s="6" t="n">
        <v>3</v>
      </c>
      <c r="G13" s="6" t="n">
        <v>1</v>
      </c>
      <c r="H13" s="6" t="n"/>
      <c r="I13" s="6" t="n">
        <v>2</v>
      </c>
      <c r="J13" s="6" t="n">
        <v>4</v>
      </c>
      <c r="K13" s="6" t="n"/>
      <c r="L13" s="6" t="n">
        <v>2</v>
      </c>
      <c r="M13" s="6" t="n">
        <v>2</v>
      </c>
      <c r="N13" s="6" t="n">
        <v>4</v>
      </c>
      <c r="O13" s="6" t="n">
        <v>5</v>
      </c>
      <c r="P13" s="6" t="n">
        <v>3</v>
      </c>
      <c r="Q13" s="6" t="n">
        <v>4</v>
      </c>
      <c r="R13" s="6" t="n">
        <v>4</v>
      </c>
      <c r="S13" s="6" t="n">
        <v>3</v>
      </c>
      <c r="T13" s="6" t="n">
        <v>4</v>
      </c>
      <c r="U13" s="6" t="n">
        <v>4</v>
      </c>
      <c r="V13" s="6" t="n">
        <v>2</v>
      </c>
      <c r="W13" s="6" t="n">
        <v>2</v>
      </c>
      <c r="X13" s="6" t="n">
        <v>3</v>
      </c>
      <c r="Y13" s="6" t="n">
        <v>5</v>
      </c>
      <c r="Z13" s="6" t="n">
        <v>5</v>
      </c>
      <c r="AA13" s="6" t="n">
        <v>4</v>
      </c>
      <c r="AB13" s="6" t="n">
        <v>4</v>
      </c>
      <c r="AC13" s="6" t="n">
        <v>3</v>
      </c>
      <c r="AD13" s="6" t="n">
        <v>4</v>
      </c>
      <c r="AE13" s="6" t="n">
        <v>4</v>
      </c>
      <c r="AF13" s="6" t="n">
        <v>5</v>
      </c>
      <c r="AG13" s="6" t="n">
        <v>4</v>
      </c>
      <c r="AH13" s="6" t="n">
        <v>3</v>
      </c>
      <c r="AI13" s="6" t="n">
        <v>2</v>
      </c>
      <c r="AJ13" s="6" t="n">
        <v>2</v>
      </c>
      <c r="AK13" s="6" t="n">
        <v>2</v>
      </c>
      <c r="AL13" s="26" t="n">
        <v>3.875</v>
      </c>
      <c r="AM13" s="26" t="n">
        <v>4</v>
      </c>
      <c r="AN13" s="26" t="n">
        <v>5</v>
      </c>
      <c r="AO13" s="26" t="n">
        <v>3.5</v>
      </c>
      <c r="AP13" s="26" t="n">
        <v>3.5</v>
      </c>
      <c r="AQ13" s="26" t="n">
        <v>4</v>
      </c>
      <c r="AR13" s="26" t="n">
        <v>3</v>
      </c>
      <c r="AS13" s="26" t="n">
        <v>4.5</v>
      </c>
      <c r="AT13" s="26" t="n">
        <v>3.5</v>
      </c>
      <c r="AU13" s="26" t="n">
        <v>4</v>
      </c>
      <c r="AV13" s="26" t="n">
        <v>4.5</v>
      </c>
      <c r="AW13" s="26" t="n">
        <v>4.125</v>
      </c>
      <c r="AX13" s="26" t="n">
        <v>2.25</v>
      </c>
      <c r="AY13" s="6" t="n">
        <v>0</v>
      </c>
      <c r="AZ13" s="6" t="n">
        <v>1</v>
      </c>
      <c r="BA13" s="6" t="n"/>
    </row>
    <row r="14">
      <c r="A14" s="6" t="inlineStr">
        <is>
          <t>R013</t>
        </is>
      </c>
      <c r="B14" s="6" t="n">
        <v>1</v>
      </c>
      <c r="C14" s="6" t="n">
        <v>1</v>
      </c>
      <c r="D14" s="6" t="n">
        <v>1</v>
      </c>
      <c r="E14" s="6" t="n">
        <v>65</v>
      </c>
      <c r="F14" s="6" t="n">
        <v>12</v>
      </c>
      <c r="G14" s="6" t="n">
        <v>2</v>
      </c>
      <c r="H14" s="6" t="n"/>
      <c r="I14" s="6" t="n">
        <v>4</v>
      </c>
      <c r="J14" s="6" t="n">
        <v>2</v>
      </c>
      <c r="K14" s="6" t="n"/>
      <c r="L14" s="6" t="n">
        <v>4</v>
      </c>
      <c r="M14" s="6" t="n">
        <v>2</v>
      </c>
      <c r="N14" s="6" t="n">
        <v>3</v>
      </c>
      <c r="O14" s="6" t="n">
        <v>5</v>
      </c>
      <c r="P14" s="6" t="n">
        <v>5</v>
      </c>
      <c r="Q14" s="6" t="n">
        <v>5</v>
      </c>
      <c r="R14" s="6" t="n">
        <v>5</v>
      </c>
      <c r="S14" s="6" t="n">
        <v>5</v>
      </c>
      <c r="T14" s="6" t="n">
        <v>5</v>
      </c>
      <c r="U14" s="6" t="n">
        <v>5</v>
      </c>
      <c r="V14" s="6" t="n">
        <v>5</v>
      </c>
      <c r="W14" s="6" t="n">
        <v>5</v>
      </c>
      <c r="X14" s="6" t="n">
        <v>5</v>
      </c>
      <c r="Y14" s="6" t="n">
        <v>5</v>
      </c>
      <c r="Z14" s="6" t="n">
        <v>5</v>
      </c>
      <c r="AA14" s="6" t="n">
        <v>5</v>
      </c>
      <c r="AB14" s="6" t="n">
        <v>5</v>
      </c>
      <c r="AC14" s="6" t="n">
        <v>5</v>
      </c>
      <c r="AD14" s="6" t="n">
        <v>5</v>
      </c>
      <c r="AE14" s="6" t="n">
        <v>5</v>
      </c>
      <c r="AF14" s="6" t="n">
        <v>5</v>
      </c>
      <c r="AG14" s="6" t="n">
        <v>5</v>
      </c>
      <c r="AH14" s="6" t="n">
        <v>5</v>
      </c>
      <c r="AI14" s="6" t="n">
        <v>5</v>
      </c>
      <c r="AJ14" s="6" t="n">
        <v>5</v>
      </c>
      <c r="AK14" s="6" t="n">
        <v>5</v>
      </c>
      <c r="AL14" s="26" t="n">
        <v>4.75</v>
      </c>
      <c r="AM14" s="26" t="n">
        <v>3</v>
      </c>
      <c r="AN14" s="26" t="n">
        <v>5</v>
      </c>
      <c r="AO14" s="26" t="n">
        <v>5</v>
      </c>
      <c r="AP14" s="26" t="n">
        <v>5</v>
      </c>
      <c r="AQ14" s="26" t="n">
        <v>5</v>
      </c>
      <c r="AR14" s="26" t="n">
        <v>5</v>
      </c>
      <c r="AS14" s="26" t="n">
        <v>5</v>
      </c>
      <c r="AT14" s="26" t="n">
        <v>5</v>
      </c>
      <c r="AU14" s="26" t="n">
        <v>5</v>
      </c>
      <c r="AV14" s="26" t="n">
        <v>5</v>
      </c>
      <c r="AW14" s="26" t="n">
        <v>5</v>
      </c>
      <c r="AX14" s="26" t="n">
        <v>5</v>
      </c>
      <c r="AY14" s="6" t="n">
        <v>0</v>
      </c>
      <c r="AZ14" s="6" t="n">
        <v>1</v>
      </c>
      <c r="BA14" s="6" t="n"/>
    </row>
    <row r="15">
      <c r="A15" s="6" t="inlineStr">
        <is>
          <t>R014</t>
        </is>
      </c>
      <c r="B15" s="6" t="n">
        <v>1</v>
      </c>
      <c r="C15" s="6" t="n">
        <v>1</v>
      </c>
      <c r="D15" s="6" t="n">
        <v>1</v>
      </c>
      <c r="E15" s="6" t="n">
        <v>53</v>
      </c>
      <c r="F15" s="6" t="n">
        <v>28</v>
      </c>
      <c r="G15" s="6" t="n">
        <v>3</v>
      </c>
      <c r="H15" s="6" t="n"/>
      <c r="I15" s="6" t="n">
        <v>3</v>
      </c>
      <c r="J15" s="6" t="n">
        <v>3</v>
      </c>
      <c r="K15" s="6" t="n"/>
      <c r="L15" s="6" t="n">
        <v>1</v>
      </c>
      <c r="M15" s="6" t="n">
        <v>1</v>
      </c>
      <c r="N15" s="6" t="n">
        <v>5</v>
      </c>
      <c r="O15" s="6" t="n">
        <v>5</v>
      </c>
      <c r="P15" s="6" t="n">
        <v>5</v>
      </c>
      <c r="Q15" s="6" t="n">
        <v>4</v>
      </c>
      <c r="R15" s="6" t="n">
        <v>4</v>
      </c>
      <c r="S15" s="6" t="n">
        <v>4</v>
      </c>
      <c r="T15" s="6" t="n">
        <v>5</v>
      </c>
      <c r="U15" s="6" t="n">
        <v>4</v>
      </c>
      <c r="V15" s="6" t="n">
        <v>4</v>
      </c>
      <c r="W15" s="6" t="n">
        <v>4</v>
      </c>
      <c r="X15" s="6" t="n">
        <v>4</v>
      </c>
      <c r="Y15" s="6" t="n">
        <v>4</v>
      </c>
      <c r="Z15" s="6" t="n">
        <v>4</v>
      </c>
      <c r="AA15" s="6" t="n">
        <v>2</v>
      </c>
      <c r="AB15" s="6" t="n">
        <v>4</v>
      </c>
      <c r="AC15" s="6" t="n">
        <v>2</v>
      </c>
      <c r="AD15" s="6" t="n">
        <v>3</v>
      </c>
      <c r="AE15" s="6" t="n">
        <v>3</v>
      </c>
      <c r="AF15" s="6" t="n">
        <v>4</v>
      </c>
      <c r="AG15" s="6" t="n">
        <v>3</v>
      </c>
      <c r="AH15" s="6" t="n">
        <v>4</v>
      </c>
      <c r="AI15" s="6" t="n">
        <v>4</v>
      </c>
      <c r="AJ15" s="6" t="n">
        <v>2</v>
      </c>
      <c r="AK15" s="6" t="n">
        <v>4</v>
      </c>
      <c r="AL15" s="26" t="n">
        <v>4.5</v>
      </c>
      <c r="AM15" s="26" t="n">
        <v>5</v>
      </c>
      <c r="AN15" s="26" t="n">
        <v>5</v>
      </c>
      <c r="AO15" s="26" t="n">
        <v>4.5</v>
      </c>
      <c r="AP15" s="26" t="n">
        <v>4</v>
      </c>
      <c r="AQ15" s="26" t="n">
        <v>4.5</v>
      </c>
      <c r="AR15" s="26" t="n">
        <v>4</v>
      </c>
      <c r="AS15" s="26" t="n">
        <v>3</v>
      </c>
      <c r="AT15" s="26" t="n">
        <v>3</v>
      </c>
      <c r="AU15" s="26" t="n">
        <v>3</v>
      </c>
      <c r="AV15" s="26" t="n">
        <v>3.5</v>
      </c>
      <c r="AW15" s="26" t="n">
        <v>3.125</v>
      </c>
      <c r="AX15" s="26" t="n">
        <v>3.5</v>
      </c>
      <c r="AY15" s="6" t="n">
        <v>0</v>
      </c>
      <c r="AZ15" s="6" t="n">
        <v>1</v>
      </c>
      <c r="BA15" s="6" t="n"/>
    </row>
    <row r="16">
      <c r="A16" s="6" t="inlineStr">
        <is>
          <t>R015</t>
        </is>
      </c>
      <c r="B16" s="6" t="n">
        <v>1</v>
      </c>
      <c r="C16" s="6" t="n">
        <v>1</v>
      </c>
      <c r="D16" s="6" t="n">
        <v>1</v>
      </c>
      <c r="E16" s="6" t="n">
        <v>53</v>
      </c>
      <c r="F16" s="6" t="n">
        <v>23</v>
      </c>
      <c r="G16" s="6" t="n">
        <v>3</v>
      </c>
      <c r="H16" s="6" t="n"/>
      <c r="I16" s="6" t="n">
        <v>3</v>
      </c>
      <c r="J16" s="6" t="n">
        <v>2</v>
      </c>
      <c r="K16" s="6" t="n"/>
      <c r="L16" s="6" t="n">
        <v>2</v>
      </c>
      <c r="M16" s="6" t="n">
        <v>2</v>
      </c>
      <c r="N16" s="6" t="n">
        <v>4</v>
      </c>
      <c r="O16" s="6" t="n">
        <v>4</v>
      </c>
      <c r="P16" s="6" t="n">
        <v>4</v>
      </c>
      <c r="Q16" s="6" t="n">
        <v>3</v>
      </c>
      <c r="R16" s="6" t="n">
        <v>3</v>
      </c>
      <c r="S16" s="6" t="n">
        <v>4</v>
      </c>
      <c r="T16" s="6" t="n">
        <v>4</v>
      </c>
      <c r="U16" s="6" t="n">
        <v>4</v>
      </c>
      <c r="V16" s="6" t="n">
        <v>3</v>
      </c>
      <c r="W16" s="6" t="n">
        <v>3</v>
      </c>
      <c r="X16" s="6" t="n">
        <v>5</v>
      </c>
      <c r="Y16" s="6" t="n">
        <v>4</v>
      </c>
      <c r="Z16" s="6" t="n">
        <v>3</v>
      </c>
      <c r="AA16" s="6" t="n">
        <v>3</v>
      </c>
      <c r="AB16" s="6" t="n">
        <v>3</v>
      </c>
      <c r="AC16" s="6" t="n">
        <v>3</v>
      </c>
      <c r="AD16" s="6" t="n">
        <v>3</v>
      </c>
      <c r="AE16" s="6" t="n">
        <v>3</v>
      </c>
      <c r="AF16" s="6" t="n">
        <v>4</v>
      </c>
      <c r="AG16" s="6" t="n">
        <v>4</v>
      </c>
      <c r="AH16" s="6" t="n">
        <v>3</v>
      </c>
      <c r="AI16" s="6" t="n">
        <v>3</v>
      </c>
      <c r="AJ16" s="6" t="n">
        <v>4</v>
      </c>
      <c r="AK16" s="6" t="n">
        <v>4</v>
      </c>
      <c r="AL16" s="26" t="n">
        <v>3.75</v>
      </c>
      <c r="AM16" s="26" t="n">
        <v>4</v>
      </c>
      <c r="AN16" s="26" t="n">
        <v>4</v>
      </c>
      <c r="AO16" s="26" t="n">
        <v>3.5</v>
      </c>
      <c r="AP16" s="26" t="n">
        <v>3.5</v>
      </c>
      <c r="AQ16" s="26" t="n">
        <v>4</v>
      </c>
      <c r="AR16" s="26" t="n">
        <v>3.75</v>
      </c>
      <c r="AS16" s="26" t="n">
        <v>3</v>
      </c>
      <c r="AT16" s="26" t="n">
        <v>3</v>
      </c>
      <c r="AU16" s="26" t="n">
        <v>3</v>
      </c>
      <c r="AV16" s="26" t="n">
        <v>4</v>
      </c>
      <c r="AW16" s="26" t="n">
        <v>3.25</v>
      </c>
      <c r="AX16" s="26" t="n">
        <v>3.5</v>
      </c>
      <c r="AY16" s="6" t="n">
        <v>0</v>
      </c>
      <c r="AZ16" s="6" t="n">
        <v>1</v>
      </c>
      <c r="BA16" s="6" t="n"/>
    </row>
    <row r="17">
      <c r="A17" s="6" t="inlineStr">
        <is>
          <t>R016</t>
        </is>
      </c>
      <c r="B17" s="6" t="n">
        <v>0</v>
      </c>
      <c r="C17" s="6" t="n">
        <v>1</v>
      </c>
      <c r="D17" s="6" t="n">
        <v>1</v>
      </c>
      <c r="E17" s="6" t="n">
        <v>52</v>
      </c>
      <c r="F17" s="6" t="n">
        <v>25</v>
      </c>
      <c r="G17" s="6" t="n">
        <v>3</v>
      </c>
      <c r="H17" s="6" t="n"/>
      <c r="I17" s="6" t="n">
        <v>3</v>
      </c>
      <c r="J17" s="6" t="n">
        <v>3</v>
      </c>
      <c r="K17" s="6" t="n"/>
      <c r="L17" s="6" t="n">
        <v>2</v>
      </c>
      <c r="M17" s="6" t="n">
        <v>1</v>
      </c>
      <c r="N17" s="6" t="n">
        <v>4</v>
      </c>
      <c r="O17" s="6" t="n">
        <v>4</v>
      </c>
      <c r="P17" s="6" t="n">
        <v>3</v>
      </c>
      <c r="Q17" s="6" t="n">
        <v>4</v>
      </c>
      <c r="R17" s="6" t="n">
        <v>4</v>
      </c>
      <c r="S17" s="6" t="n">
        <v>4</v>
      </c>
      <c r="T17" s="6" t="n">
        <v>4</v>
      </c>
      <c r="U17" s="6" t="n">
        <v>4</v>
      </c>
      <c r="V17" s="6" t="n">
        <v>2</v>
      </c>
      <c r="W17" s="6" t="n">
        <v>2</v>
      </c>
      <c r="X17" s="6" t="n">
        <v>4</v>
      </c>
      <c r="Y17" s="6" t="n">
        <v>1</v>
      </c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26" t="n">
        <v>3.875</v>
      </c>
      <c r="AM17" s="26" t="n">
        <v>4</v>
      </c>
      <c r="AN17" s="26" t="n">
        <v>4</v>
      </c>
      <c r="AO17" s="26" t="n">
        <v>3.5</v>
      </c>
      <c r="AP17" s="26" t="n">
        <v>4</v>
      </c>
      <c r="AQ17" s="26" t="n">
        <v>4</v>
      </c>
      <c r="AR17" s="26" t="n">
        <v>2.25</v>
      </c>
      <c r="AS17" s="26" t="n"/>
      <c r="AT17" s="26" t="n"/>
      <c r="AU17" s="26" t="n"/>
      <c r="AV17" s="26" t="n"/>
      <c r="AW17" s="26" t="n"/>
      <c r="AX17" s="26" t="n"/>
      <c r="AY17" s="6" t="n"/>
      <c r="AZ17" s="6" t="n">
        <v>1</v>
      </c>
      <c r="BA17" s="6" t="n"/>
    </row>
    <row r="18">
      <c r="A18" s="6" t="inlineStr">
        <is>
          <t>R017</t>
        </is>
      </c>
      <c r="B18" s="6" t="n">
        <v>1</v>
      </c>
      <c r="C18" s="6" t="n">
        <v>2</v>
      </c>
      <c r="D18" s="6" t="n">
        <v>1</v>
      </c>
      <c r="E18" s="6" t="n">
        <v>54</v>
      </c>
      <c r="F18" s="6" t="n">
        <v>20</v>
      </c>
      <c r="G18" s="6" t="n">
        <v>1</v>
      </c>
      <c r="H18" s="6" t="n"/>
      <c r="I18" s="6" t="n">
        <v>4</v>
      </c>
      <c r="J18" s="6" t="n">
        <v>4</v>
      </c>
      <c r="K18" s="6" t="n"/>
      <c r="L18" s="6" t="n">
        <v>3</v>
      </c>
      <c r="M18" s="6" t="n">
        <v>2</v>
      </c>
      <c r="N18" s="6" t="n">
        <v>3</v>
      </c>
      <c r="O18" s="6" t="n">
        <v>4</v>
      </c>
      <c r="P18" s="6" t="n">
        <v>4</v>
      </c>
      <c r="Q18" s="6" t="n">
        <v>4</v>
      </c>
      <c r="R18" s="6" t="n">
        <v>4</v>
      </c>
      <c r="S18" s="6" t="n">
        <v>4</v>
      </c>
      <c r="T18" s="6" t="n">
        <v>4</v>
      </c>
      <c r="U18" s="6" t="n">
        <v>4</v>
      </c>
      <c r="V18" s="6" t="n">
        <v>2</v>
      </c>
      <c r="W18" s="6" t="n">
        <v>2</v>
      </c>
      <c r="X18" s="6" t="n">
        <v>2</v>
      </c>
      <c r="Y18" s="6" t="n">
        <v>2</v>
      </c>
      <c r="Z18" s="6" t="n">
        <v>3</v>
      </c>
      <c r="AA18" s="6" t="n">
        <v>4</v>
      </c>
      <c r="AB18" s="6" t="n">
        <v>4</v>
      </c>
      <c r="AC18" s="6" t="n">
        <v>4</v>
      </c>
      <c r="AD18" s="6" t="n">
        <v>3</v>
      </c>
      <c r="AE18" s="6" t="n">
        <v>3</v>
      </c>
      <c r="AF18" s="6" t="n">
        <v>4</v>
      </c>
      <c r="AG18" s="6" t="n">
        <v>3</v>
      </c>
      <c r="AH18" s="6" t="n">
        <v>4</v>
      </c>
      <c r="AI18" s="6" t="n">
        <v>4</v>
      </c>
      <c r="AJ18" s="6" t="n">
        <v>4</v>
      </c>
      <c r="AK18" s="6" t="n">
        <v>4</v>
      </c>
      <c r="AL18" s="26" t="n">
        <v>3.875</v>
      </c>
      <c r="AM18" s="26" t="n">
        <v>3</v>
      </c>
      <c r="AN18" s="26" t="n">
        <v>4</v>
      </c>
      <c r="AO18" s="26" t="n">
        <v>4</v>
      </c>
      <c r="AP18" s="26" t="n">
        <v>4</v>
      </c>
      <c r="AQ18" s="26" t="n">
        <v>4</v>
      </c>
      <c r="AR18" s="26" t="n">
        <v>2</v>
      </c>
      <c r="AS18" s="26" t="n">
        <v>3.5</v>
      </c>
      <c r="AT18" s="26" t="n">
        <v>4</v>
      </c>
      <c r="AU18" s="26" t="n">
        <v>3</v>
      </c>
      <c r="AV18" s="26" t="n">
        <v>3.5</v>
      </c>
      <c r="AW18" s="26" t="n">
        <v>3.5</v>
      </c>
      <c r="AX18" s="26" t="n">
        <v>4</v>
      </c>
      <c r="AY18" s="6" t="n">
        <v>1</v>
      </c>
      <c r="AZ18" s="6" t="n">
        <v>1</v>
      </c>
      <c r="BA18" s="6" t="n"/>
    </row>
    <row r="19">
      <c r="A19" s="6" t="inlineStr">
        <is>
          <t>R018</t>
        </is>
      </c>
      <c r="B19" s="6" t="n">
        <v>0</v>
      </c>
      <c r="C19" s="6" t="n">
        <v>1</v>
      </c>
      <c r="D19" s="6" t="n">
        <v>1</v>
      </c>
      <c r="E19" s="6" t="n">
        <v>28</v>
      </c>
      <c r="F19" s="6" t="n">
        <v>3</v>
      </c>
      <c r="G19" s="6" t="n">
        <v>2</v>
      </c>
      <c r="H19" s="6" t="n"/>
      <c r="I19" s="6" t="n">
        <v>4</v>
      </c>
      <c r="J19" s="6" t="n">
        <v>2</v>
      </c>
      <c r="K19" s="6" t="n"/>
      <c r="L19" s="6" t="n">
        <v>2</v>
      </c>
      <c r="M19" s="6" t="n">
        <v>2</v>
      </c>
      <c r="N19" s="6" t="n">
        <v>3</v>
      </c>
      <c r="O19" s="6" t="n">
        <v>3</v>
      </c>
      <c r="P19" s="6" t="n">
        <v>2</v>
      </c>
      <c r="Q19" s="6" t="n">
        <v>2</v>
      </c>
      <c r="R19" s="6" t="n">
        <v>2</v>
      </c>
      <c r="S19" s="6" t="n">
        <v>1</v>
      </c>
      <c r="T19" s="6" t="n">
        <v>2</v>
      </c>
      <c r="U19" s="6" t="n">
        <v>4</v>
      </c>
      <c r="V19" s="6" t="n">
        <v>1</v>
      </c>
      <c r="W19" s="6" t="n">
        <v>1</v>
      </c>
      <c r="X19" s="6" t="n">
        <v>1</v>
      </c>
      <c r="Y19" s="6" t="n">
        <v>1</v>
      </c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26" t="n">
        <v>2.375</v>
      </c>
      <c r="AM19" s="26" t="n">
        <v>3</v>
      </c>
      <c r="AN19" s="26" t="n">
        <v>3</v>
      </c>
      <c r="AO19" s="26" t="n">
        <v>2</v>
      </c>
      <c r="AP19" s="26" t="n">
        <v>1.5</v>
      </c>
      <c r="AQ19" s="26" t="n">
        <v>3</v>
      </c>
      <c r="AR19" s="26" t="n">
        <v>1</v>
      </c>
      <c r="AS19" s="26" t="n"/>
      <c r="AT19" s="26" t="n"/>
      <c r="AU19" s="26" t="n"/>
      <c r="AV19" s="26" t="n"/>
      <c r="AW19" s="26" t="n"/>
      <c r="AX19" s="26" t="n"/>
      <c r="AY19" s="6" t="n"/>
      <c r="AZ19" s="6" t="n">
        <v>1</v>
      </c>
      <c r="BA19" s="6" t="n"/>
    </row>
    <row r="20">
      <c r="A20" s="6" t="inlineStr">
        <is>
          <t>R019</t>
        </is>
      </c>
      <c r="B20" s="6" t="n">
        <v>1</v>
      </c>
      <c r="C20" s="6" t="n">
        <v>2</v>
      </c>
      <c r="D20" s="6" t="n">
        <v>1</v>
      </c>
      <c r="E20" s="6" t="n">
        <v>34</v>
      </c>
      <c r="F20" s="6" t="n">
        <v>2</v>
      </c>
      <c r="G20" s="6" t="n">
        <v>1</v>
      </c>
      <c r="H20" s="6" t="n"/>
      <c r="I20" s="6" t="n">
        <v>2</v>
      </c>
      <c r="J20" s="6" t="n">
        <v>2</v>
      </c>
      <c r="K20" s="6" t="n"/>
      <c r="L20" s="6" t="n">
        <v>1</v>
      </c>
      <c r="M20" s="6" t="n">
        <v>2</v>
      </c>
      <c r="N20" s="6" t="n">
        <v>3</v>
      </c>
      <c r="O20" s="6" t="n">
        <v>4</v>
      </c>
      <c r="P20" s="6" t="n">
        <v>4</v>
      </c>
      <c r="Q20" s="6" t="n">
        <v>4</v>
      </c>
      <c r="R20" s="6" t="n">
        <v>3</v>
      </c>
      <c r="S20" s="6" t="n">
        <v>3</v>
      </c>
      <c r="T20" s="6" t="n">
        <v>4</v>
      </c>
      <c r="U20" s="6" t="n">
        <v>4</v>
      </c>
      <c r="V20" s="6" t="n">
        <v>3</v>
      </c>
      <c r="W20" s="6" t="n">
        <v>3</v>
      </c>
      <c r="X20" s="6" t="n">
        <v>3</v>
      </c>
      <c r="Y20" s="6" t="n">
        <v>3</v>
      </c>
      <c r="Z20" s="6" t="n">
        <v>3</v>
      </c>
      <c r="AA20" s="6" t="n">
        <v>4</v>
      </c>
      <c r="AB20" s="6" t="n">
        <v>3</v>
      </c>
      <c r="AC20" s="6" t="n">
        <v>3</v>
      </c>
      <c r="AD20" s="6" t="n">
        <v>2</v>
      </c>
      <c r="AE20" s="6" t="n">
        <v>3</v>
      </c>
      <c r="AF20" s="6" t="n">
        <v>4</v>
      </c>
      <c r="AG20" s="6" t="n">
        <v>3</v>
      </c>
      <c r="AH20" s="6" t="n">
        <v>4</v>
      </c>
      <c r="AI20" s="6" t="n">
        <v>4</v>
      </c>
      <c r="AJ20" s="6" t="n">
        <v>4</v>
      </c>
      <c r="AK20" s="6" t="n">
        <v>3</v>
      </c>
      <c r="AL20" s="26" t="n">
        <v>3.625</v>
      </c>
      <c r="AM20" s="26" t="n">
        <v>3</v>
      </c>
      <c r="AN20" s="26" t="n">
        <v>4</v>
      </c>
      <c r="AO20" s="26" t="n">
        <v>4</v>
      </c>
      <c r="AP20" s="26" t="n">
        <v>3</v>
      </c>
      <c r="AQ20" s="26" t="n">
        <v>4</v>
      </c>
      <c r="AR20" s="26" t="n">
        <v>3</v>
      </c>
      <c r="AS20" s="26" t="n">
        <v>3.5</v>
      </c>
      <c r="AT20" s="26" t="n">
        <v>3</v>
      </c>
      <c r="AU20" s="26" t="n">
        <v>2.5</v>
      </c>
      <c r="AV20" s="26" t="n">
        <v>3.5</v>
      </c>
      <c r="AW20" s="26" t="n">
        <v>3.125</v>
      </c>
      <c r="AX20" s="26" t="n">
        <v>3.75</v>
      </c>
      <c r="AY20" s="6" t="n">
        <v>0</v>
      </c>
      <c r="AZ20" s="6" t="n">
        <v>1</v>
      </c>
      <c r="BA20" s="6" t="n"/>
    </row>
    <row r="21">
      <c r="A21" s="6" t="inlineStr">
        <is>
          <t>R020</t>
        </is>
      </c>
      <c r="B21" s="6" t="n">
        <v>0</v>
      </c>
      <c r="C21" s="6" t="n">
        <v>1</v>
      </c>
      <c r="D21" s="6" t="n">
        <v>1</v>
      </c>
      <c r="E21" s="6" t="n">
        <v>65</v>
      </c>
      <c r="F21" s="6" t="n">
        <v>45</v>
      </c>
      <c r="G21" s="6" t="n">
        <v>3</v>
      </c>
      <c r="H21" s="6" t="n"/>
      <c r="I21" s="6" t="n">
        <v>2</v>
      </c>
      <c r="J21" s="6" t="n">
        <v>5</v>
      </c>
      <c r="K21" s="6" t="inlineStr">
        <is>
          <t>현장상주</t>
        </is>
      </c>
      <c r="L21" s="6" t="n">
        <v>1</v>
      </c>
      <c r="M21" s="6" t="n">
        <v>1</v>
      </c>
      <c r="N21" s="6" t="n">
        <v>5</v>
      </c>
      <c r="O21" s="6" t="n">
        <v>5</v>
      </c>
      <c r="P21" s="6" t="n">
        <v>5</v>
      </c>
      <c r="Q21" s="6" t="n">
        <v>5</v>
      </c>
      <c r="R21" s="6" t="n">
        <v>5</v>
      </c>
      <c r="S21" s="6" t="n">
        <v>5</v>
      </c>
      <c r="T21" s="6" t="n">
        <v>5</v>
      </c>
      <c r="U21" s="6" t="n">
        <v>5</v>
      </c>
      <c r="V21" s="6" t="n">
        <v>1</v>
      </c>
      <c r="W21" s="6" t="n">
        <v>1</v>
      </c>
      <c r="X21" s="6" t="n">
        <v>1</v>
      </c>
      <c r="Y21" s="6" t="n">
        <v>1</v>
      </c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26" t="n">
        <v>5</v>
      </c>
      <c r="AM21" s="26" t="n">
        <v>5</v>
      </c>
      <c r="AN21" s="26" t="n">
        <v>5</v>
      </c>
      <c r="AO21" s="26" t="n">
        <v>5</v>
      </c>
      <c r="AP21" s="26" t="n">
        <v>5</v>
      </c>
      <c r="AQ21" s="26" t="n">
        <v>5</v>
      </c>
      <c r="AR21" s="26" t="n">
        <v>1</v>
      </c>
      <c r="AS21" s="26" t="n"/>
      <c r="AT21" s="26" t="n"/>
      <c r="AU21" s="26" t="n"/>
      <c r="AV21" s="26" t="n"/>
      <c r="AW21" s="26" t="n"/>
      <c r="AX21" s="26" t="n"/>
      <c r="AY21" s="6" t="n"/>
      <c r="AZ21" s="6" t="n">
        <v>1</v>
      </c>
      <c r="BA21" s="6" t="n"/>
    </row>
    <row r="22">
      <c r="A22" s="6" t="inlineStr">
        <is>
          <t>R021</t>
        </is>
      </c>
      <c r="B22" s="6" t="n">
        <v>1</v>
      </c>
      <c r="C22" s="6" t="n">
        <v>1</v>
      </c>
      <c r="D22" s="6" t="n">
        <v>1</v>
      </c>
      <c r="E22" s="6" t="n">
        <v>66</v>
      </c>
      <c r="F22" s="6" t="n">
        <v>33</v>
      </c>
      <c r="G22" s="6" t="n">
        <v>3</v>
      </c>
      <c r="H22" s="6" t="n"/>
      <c r="I22" s="6" t="n">
        <v>1</v>
      </c>
      <c r="J22" s="6" t="n">
        <v>2</v>
      </c>
      <c r="K22" s="6" t="n"/>
      <c r="L22" s="6" t="n">
        <v>1</v>
      </c>
      <c r="M22" s="6" t="n">
        <v>1</v>
      </c>
      <c r="N22" s="6" t="n">
        <v>5</v>
      </c>
      <c r="O22" s="6" t="n">
        <v>5</v>
      </c>
      <c r="P22" s="6" t="n">
        <v>4</v>
      </c>
      <c r="Q22" s="6" t="n">
        <v>4</v>
      </c>
      <c r="R22" s="6" t="n">
        <v>5</v>
      </c>
      <c r="S22" s="6" t="n">
        <v>4</v>
      </c>
      <c r="T22" s="6" t="n">
        <v>5</v>
      </c>
      <c r="U22" s="6" t="n">
        <v>5</v>
      </c>
      <c r="V22" s="6" t="n">
        <v>5</v>
      </c>
      <c r="W22" s="6" t="n">
        <v>5</v>
      </c>
      <c r="X22" s="6" t="n">
        <v>5</v>
      </c>
      <c r="Y22" s="6" t="n">
        <v>5</v>
      </c>
      <c r="Z22" s="6" t="n">
        <v>1</v>
      </c>
      <c r="AA22" s="6" t="n">
        <v>2</v>
      </c>
      <c r="AB22" s="6" t="n">
        <v>4</v>
      </c>
      <c r="AC22" s="6" t="n">
        <v>4</v>
      </c>
      <c r="AD22" s="6" t="n">
        <v>5</v>
      </c>
      <c r="AE22" s="6" t="n">
        <v>5</v>
      </c>
      <c r="AF22" s="6" t="n">
        <v>5</v>
      </c>
      <c r="AG22" s="6" t="n">
        <v>5</v>
      </c>
      <c r="AH22" s="6" t="n">
        <v>5</v>
      </c>
      <c r="AI22" s="6" t="n">
        <v>5</v>
      </c>
      <c r="AJ22" s="6" t="n">
        <v>5</v>
      </c>
      <c r="AK22" s="6" t="n">
        <v>5</v>
      </c>
      <c r="AL22" s="26" t="n">
        <v>4.625</v>
      </c>
      <c r="AM22" s="26" t="n">
        <v>5</v>
      </c>
      <c r="AN22" s="26" t="n">
        <v>5</v>
      </c>
      <c r="AO22" s="26" t="n">
        <v>4</v>
      </c>
      <c r="AP22" s="26" t="n">
        <v>4.5</v>
      </c>
      <c r="AQ22" s="26" t="n">
        <v>5</v>
      </c>
      <c r="AR22" s="26" t="n">
        <v>5</v>
      </c>
      <c r="AS22" s="26" t="n">
        <v>1.5</v>
      </c>
      <c r="AT22" s="26" t="n">
        <v>4</v>
      </c>
      <c r="AU22" s="26" t="n">
        <v>5</v>
      </c>
      <c r="AV22" s="26" t="n">
        <v>5</v>
      </c>
      <c r="AW22" s="26" t="n">
        <v>3.875</v>
      </c>
      <c r="AX22" s="26" t="n">
        <v>5</v>
      </c>
      <c r="AY22" s="6" t="n">
        <v>0</v>
      </c>
      <c r="AZ22" s="6" t="n">
        <v>1</v>
      </c>
      <c r="BA22" s="6" t="n"/>
    </row>
    <row r="23">
      <c r="A23" s="6" t="inlineStr">
        <is>
          <t>R022</t>
        </is>
      </c>
      <c r="B23" s="6" t="n">
        <v>0</v>
      </c>
      <c r="C23" s="6" t="n">
        <v>1</v>
      </c>
      <c r="D23" s="6" t="n">
        <v>1</v>
      </c>
      <c r="E23" s="6" t="n">
        <v>56</v>
      </c>
      <c r="F23" s="6" t="n">
        <v>30</v>
      </c>
      <c r="G23" s="6" t="n">
        <v>3</v>
      </c>
      <c r="H23" s="6" t="n"/>
      <c r="I23" s="6" t="n">
        <v>2</v>
      </c>
      <c r="J23" s="6" t="n">
        <v>2</v>
      </c>
      <c r="K23" s="6" t="n"/>
      <c r="L23" s="6" t="n">
        <v>2</v>
      </c>
      <c r="M23" s="6" t="n">
        <v>2</v>
      </c>
      <c r="N23" s="6" t="n">
        <v>4</v>
      </c>
      <c r="O23" s="6" t="n">
        <v>5</v>
      </c>
      <c r="P23" s="6" t="n">
        <v>3</v>
      </c>
      <c r="Q23" s="6" t="n">
        <v>3</v>
      </c>
      <c r="R23" s="6" t="n">
        <v>3</v>
      </c>
      <c r="S23" s="6" t="n">
        <v>3</v>
      </c>
      <c r="T23" s="6" t="n">
        <v>4</v>
      </c>
      <c r="U23" s="6" t="n">
        <v>4</v>
      </c>
      <c r="V23" s="6" t="n">
        <v>3</v>
      </c>
      <c r="W23" s="6" t="n">
        <v>2</v>
      </c>
      <c r="X23" s="6" t="n">
        <v>2</v>
      </c>
      <c r="Y23" s="6" t="n">
        <v>3</v>
      </c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26" t="n">
        <v>3.625</v>
      </c>
      <c r="AM23" s="26" t="n">
        <v>4</v>
      </c>
      <c r="AN23" s="26" t="n">
        <v>5</v>
      </c>
      <c r="AO23" s="26" t="n">
        <v>3</v>
      </c>
      <c r="AP23" s="26" t="n">
        <v>3</v>
      </c>
      <c r="AQ23" s="26" t="n">
        <v>4</v>
      </c>
      <c r="AR23" s="26" t="n">
        <v>2.5</v>
      </c>
      <c r="AS23" s="26" t="n"/>
      <c r="AT23" s="26" t="n"/>
      <c r="AU23" s="26" t="n"/>
      <c r="AV23" s="26" t="n"/>
      <c r="AW23" s="26" t="n"/>
      <c r="AX23" s="26" t="n"/>
      <c r="AY23" s="6" t="n"/>
      <c r="AZ23" s="6" t="n">
        <v>1</v>
      </c>
      <c r="BA23" s="6" t="n"/>
    </row>
    <row r="24">
      <c r="A24" s="6" t="inlineStr">
        <is>
          <t>R023</t>
        </is>
      </c>
      <c r="B24" s="6" t="n">
        <v>0</v>
      </c>
      <c r="C24" s="6" t="n">
        <v>1</v>
      </c>
      <c r="D24" s="6" t="n">
        <v>1</v>
      </c>
      <c r="E24" s="6" t="n">
        <v>63</v>
      </c>
      <c r="F24" s="6" t="n">
        <v>33</v>
      </c>
      <c r="G24" s="6" t="n">
        <v>2</v>
      </c>
      <c r="H24" s="6" t="n"/>
      <c r="I24" s="6" t="n">
        <v>4</v>
      </c>
      <c r="J24" s="6" t="n">
        <v>2</v>
      </c>
      <c r="K24" s="6" t="n"/>
      <c r="L24" s="6" t="n">
        <v>1</v>
      </c>
      <c r="M24" s="6" t="n">
        <v>3</v>
      </c>
      <c r="N24" s="6" t="n">
        <v>3</v>
      </c>
      <c r="O24" s="6" t="n">
        <v>4</v>
      </c>
      <c r="P24" s="6" t="n">
        <v>2</v>
      </c>
      <c r="Q24" s="6" t="n">
        <v>2</v>
      </c>
      <c r="R24" s="6" t="n">
        <v>3</v>
      </c>
      <c r="S24" s="6" t="n">
        <v>3</v>
      </c>
      <c r="T24" s="6" t="n">
        <v>3</v>
      </c>
      <c r="U24" s="6" t="n">
        <v>3</v>
      </c>
      <c r="V24" s="6" t="n">
        <v>4</v>
      </c>
      <c r="W24" s="6" t="n">
        <v>4</v>
      </c>
      <c r="X24" s="6" t="n">
        <v>4</v>
      </c>
      <c r="Y24" s="6" t="n">
        <v>4</v>
      </c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26" t="n">
        <v>2.875</v>
      </c>
      <c r="AM24" s="26" t="n">
        <v>3</v>
      </c>
      <c r="AN24" s="26" t="n">
        <v>4</v>
      </c>
      <c r="AO24" s="26" t="n">
        <v>2</v>
      </c>
      <c r="AP24" s="26" t="n">
        <v>3</v>
      </c>
      <c r="AQ24" s="26" t="n">
        <v>3</v>
      </c>
      <c r="AR24" s="26" t="n">
        <v>4</v>
      </c>
      <c r="AS24" s="26" t="n"/>
      <c r="AT24" s="26" t="n"/>
      <c r="AU24" s="26" t="n"/>
      <c r="AV24" s="26" t="n"/>
      <c r="AW24" s="26" t="n"/>
      <c r="AX24" s="26" t="n"/>
      <c r="AY24" s="6" t="n"/>
      <c r="AZ24" s="6" t="n">
        <v>1</v>
      </c>
      <c r="BA24" s="6" t="n"/>
    </row>
    <row r="25">
      <c r="A25" s="6" t="inlineStr">
        <is>
          <t>R024</t>
        </is>
      </c>
      <c r="B25" s="6" t="n">
        <v>1</v>
      </c>
      <c r="C25" s="6" t="n">
        <v>1</v>
      </c>
      <c r="D25" s="6" t="n">
        <v>1</v>
      </c>
      <c r="E25" s="6" t="n">
        <v>64</v>
      </c>
      <c r="F25" s="6" t="n">
        <v>1</v>
      </c>
      <c r="G25" s="6" t="n">
        <v>3</v>
      </c>
      <c r="H25" s="6" t="n"/>
      <c r="I25" s="6" t="n">
        <v>3</v>
      </c>
      <c r="J25" s="6" t="n">
        <v>5</v>
      </c>
      <c r="K25" s="6" t="inlineStr">
        <is>
          <t>수시로 현장을 답사하여 확인한다</t>
        </is>
      </c>
      <c r="L25" s="6" t="n">
        <v>2</v>
      </c>
      <c r="M25" s="6" t="n">
        <v>1</v>
      </c>
      <c r="N25" s="6" t="n">
        <v>5</v>
      </c>
      <c r="O25" s="6" t="n">
        <v>5</v>
      </c>
      <c r="P25" s="6" t="n">
        <v>5</v>
      </c>
      <c r="Q25" s="6" t="n">
        <v>5</v>
      </c>
      <c r="R25" s="6" t="n">
        <v>5</v>
      </c>
      <c r="S25" s="6" t="n">
        <v>5</v>
      </c>
      <c r="T25" s="6" t="n">
        <v>5</v>
      </c>
      <c r="U25" s="6" t="n">
        <v>5</v>
      </c>
      <c r="V25" s="6" t="n">
        <v>3</v>
      </c>
      <c r="W25" s="6" t="n">
        <v>1</v>
      </c>
      <c r="X25" s="6" t="n">
        <v>1</v>
      </c>
      <c r="Y25" s="6" t="n">
        <v>1</v>
      </c>
      <c r="Z25" s="6" t="n">
        <v>5</v>
      </c>
      <c r="AA25" s="6" t="n">
        <v>5</v>
      </c>
      <c r="AB25" s="6" t="n">
        <v>5</v>
      </c>
      <c r="AC25" s="6" t="n">
        <v>1</v>
      </c>
      <c r="AD25" s="6" t="n">
        <v>2</v>
      </c>
      <c r="AE25" s="6" t="n">
        <v>3</v>
      </c>
      <c r="AF25" s="6" t="n">
        <v>5</v>
      </c>
      <c r="AG25" s="6" t="n">
        <v>5</v>
      </c>
      <c r="AH25" s="6" t="n">
        <v>1</v>
      </c>
      <c r="AI25" s="6" t="n">
        <v>1</v>
      </c>
      <c r="AJ25" s="6" t="n">
        <v>5</v>
      </c>
      <c r="AK25" s="6" t="n">
        <v>1</v>
      </c>
      <c r="AL25" s="26" t="n">
        <v>5</v>
      </c>
      <c r="AM25" s="26" t="n">
        <v>5</v>
      </c>
      <c r="AN25" s="26" t="n">
        <v>5</v>
      </c>
      <c r="AO25" s="26" t="n">
        <v>5</v>
      </c>
      <c r="AP25" s="26" t="n">
        <v>5</v>
      </c>
      <c r="AQ25" s="26" t="n">
        <v>5</v>
      </c>
      <c r="AR25" s="26" t="n">
        <v>1.5</v>
      </c>
      <c r="AS25" s="26" t="n">
        <v>5</v>
      </c>
      <c r="AT25" s="26" t="n">
        <v>3</v>
      </c>
      <c r="AU25" s="26" t="n">
        <v>2.5</v>
      </c>
      <c r="AV25" s="26" t="n">
        <v>5</v>
      </c>
      <c r="AW25" s="26" t="n">
        <v>3.875</v>
      </c>
      <c r="AX25" s="26" t="n">
        <v>2</v>
      </c>
      <c r="AY25" s="6" t="n">
        <v>0</v>
      </c>
      <c r="AZ25" s="6" t="n">
        <v>1</v>
      </c>
      <c r="BA25" s="6" t="n"/>
    </row>
    <row r="26">
      <c r="A26" s="6" t="inlineStr">
        <is>
          <t>R025</t>
        </is>
      </c>
      <c r="B26" s="6" t="n">
        <v>0</v>
      </c>
      <c r="C26" s="6" t="n">
        <v>1</v>
      </c>
      <c r="D26" s="6" t="n">
        <v>1</v>
      </c>
      <c r="E26" s="6" t="n">
        <v>48</v>
      </c>
      <c r="F26" s="6" t="n">
        <v>25</v>
      </c>
      <c r="G26" s="6" t="n">
        <v>3</v>
      </c>
      <c r="H26" s="6" t="n"/>
      <c r="I26" s="6" t="n">
        <v>4</v>
      </c>
      <c r="J26" s="6" t="n">
        <v>3</v>
      </c>
      <c r="K26" s="6" t="n"/>
      <c r="L26" s="6" t="n">
        <v>3</v>
      </c>
      <c r="M26" s="6" t="n">
        <v>1</v>
      </c>
      <c r="N26" s="6" t="n">
        <v>5</v>
      </c>
      <c r="O26" s="6" t="n">
        <v>5</v>
      </c>
      <c r="P26" s="6" t="n">
        <v>5</v>
      </c>
      <c r="Q26" s="6" t="n">
        <v>5</v>
      </c>
      <c r="R26" s="6" t="n">
        <v>5</v>
      </c>
      <c r="S26" s="6" t="n">
        <v>5</v>
      </c>
      <c r="T26" s="6" t="n">
        <v>5</v>
      </c>
      <c r="U26" s="6" t="n">
        <v>5</v>
      </c>
      <c r="V26" s="6" t="n">
        <v>2</v>
      </c>
      <c r="W26" s="6" t="n">
        <v>4</v>
      </c>
      <c r="X26" s="6" t="n">
        <v>2</v>
      </c>
      <c r="Y26" s="6" t="n">
        <v>2</v>
      </c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26" t="n">
        <v>5</v>
      </c>
      <c r="AM26" s="26" t="n">
        <v>5</v>
      </c>
      <c r="AN26" s="26" t="n">
        <v>5</v>
      </c>
      <c r="AO26" s="26" t="n">
        <v>5</v>
      </c>
      <c r="AP26" s="26" t="n">
        <v>5</v>
      </c>
      <c r="AQ26" s="26" t="n">
        <v>5</v>
      </c>
      <c r="AR26" s="26" t="n">
        <v>2.5</v>
      </c>
      <c r="AS26" s="26" t="n"/>
      <c r="AT26" s="26" t="n"/>
      <c r="AU26" s="26" t="n"/>
      <c r="AV26" s="26" t="n"/>
      <c r="AW26" s="26" t="n"/>
      <c r="AX26" s="26" t="n"/>
      <c r="AY26" s="6" t="n"/>
      <c r="AZ26" s="6" t="n">
        <v>1</v>
      </c>
      <c r="BA26" s="6" t="n"/>
    </row>
    <row r="27">
      <c r="A27" s="6" t="inlineStr">
        <is>
          <t>R026</t>
        </is>
      </c>
      <c r="B27" s="6" t="n">
        <v>1</v>
      </c>
      <c r="C27" s="6" t="n">
        <v>2</v>
      </c>
      <c r="D27" s="6" t="n">
        <v>1</v>
      </c>
      <c r="E27" s="6" t="n">
        <v>45</v>
      </c>
      <c r="F27" s="6" t="n">
        <v>12</v>
      </c>
      <c r="G27" s="6" t="n">
        <v>1</v>
      </c>
      <c r="H27" s="6" t="n"/>
      <c r="I27" s="6" t="n">
        <v>3</v>
      </c>
      <c r="J27" s="6" t="n">
        <v>3</v>
      </c>
      <c r="K27" s="6" t="n"/>
      <c r="L27" s="6" t="n">
        <v>2</v>
      </c>
      <c r="M27" s="6" t="n">
        <v>2</v>
      </c>
      <c r="N27" s="6" t="n">
        <v>5</v>
      </c>
      <c r="O27" s="6" t="n">
        <v>5</v>
      </c>
      <c r="P27" s="6" t="n">
        <v>5</v>
      </c>
      <c r="Q27" s="6" t="n">
        <v>5</v>
      </c>
      <c r="R27" s="6" t="n">
        <v>5</v>
      </c>
      <c r="S27" s="6" t="n">
        <v>5</v>
      </c>
      <c r="T27" s="6" t="n">
        <v>5</v>
      </c>
      <c r="U27" s="6" t="n">
        <v>5</v>
      </c>
      <c r="V27" s="6" t="n">
        <v>2</v>
      </c>
      <c r="W27" s="6" t="n">
        <v>2</v>
      </c>
      <c r="X27" s="6" t="n">
        <v>2</v>
      </c>
      <c r="Y27" s="6" t="n">
        <v>5</v>
      </c>
      <c r="Z27" s="6" t="n">
        <v>5</v>
      </c>
      <c r="AA27" s="6" t="n">
        <v>5</v>
      </c>
      <c r="AB27" s="6" t="n">
        <v>5</v>
      </c>
      <c r="AC27" s="6" t="n">
        <v>5</v>
      </c>
      <c r="AD27" s="6" t="n">
        <v>5</v>
      </c>
      <c r="AE27" s="6" t="n">
        <v>5</v>
      </c>
      <c r="AF27" s="6" t="n">
        <v>5</v>
      </c>
      <c r="AG27" s="6" t="n">
        <v>5</v>
      </c>
      <c r="AH27" s="6" t="n">
        <v>5</v>
      </c>
      <c r="AI27" s="6" t="n">
        <v>5</v>
      </c>
      <c r="AJ27" s="6" t="n">
        <v>5</v>
      </c>
      <c r="AK27" s="6" t="n">
        <v>5</v>
      </c>
      <c r="AL27" s="26" t="n">
        <v>5</v>
      </c>
      <c r="AM27" s="26" t="n">
        <v>5</v>
      </c>
      <c r="AN27" s="26" t="n">
        <v>5</v>
      </c>
      <c r="AO27" s="26" t="n">
        <v>5</v>
      </c>
      <c r="AP27" s="26" t="n">
        <v>5</v>
      </c>
      <c r="AQ27" s="26" t="n">
        <v>5</v>
      </c>
      <c r="AR27" s="26" t="n">
        <v>2.75</v>
      </c>
      <c r="AS27" s="26" t="n">
        <v>5</v>
      </c>
      <c r="AT27" s="26" t="n">
        <v>5</v>
      </c>
      <c r="AU27" s="26" t="n">
        <v>5</v>
      </c>
      <c r="AV27" s="26" t="n">
        <v>5</v>
      </c>
      <c r="AW27" s="26" t="n">
        <v>5</v>
      </c>
      <c r="AX27" s="26" t="n">
        <v>5</v>
      </c>
      <c r="AY27" s="6" t="n">
        <v>0</v>
      </c>
      <c r="AZ27" s="6" t="n">
        <v>1</v>
      </c>
      <c r="BA27" s="6" t="n"/>
    </row>
    <row r="28">
      <c r="A28" s="6" t="inlineStr">
        <is>
          <t>R027</t>
        </is>
      </c>
      <c r="B28" s="6" t="n">
        <v>0</v>
      </c>
      <c r="C28" s="6" t="n">
        <v>2</v>
      </c>
      <c r="D28" s="6" t="n">
        <v>1</v>
      </c>
      <c r="E28" s="6" t="n">
        <v>39</v>
      </c>
      <c r="F28" s="6" t="n">
        <v>15</v>
      </c>
      <c r="G28" s="6" t="n">
        <v>1</v>
      </c>
      <c r="H28" s="6" t="n"/>
      <c r="I28" s="6" t="n">
        <v>1</v>
      </c>
      <c r="J28" s="6" t="n">
        <v>1</v>
      </c>
      <c r="K28" s="6" t="n"/>
      <c r="L28" s="6" t="n">
        <v>2</v>
      </c>
      <c r="M28" s="6" t="n">
        <v>2</v>
      </c>
      <c r="N28" s="6" t="n">
        <v>2</v>
      </c>
      <c r="O28" s="6" t="n">
        <v>3</v>
      </c>
      <c r="P28" s="6" t="n">
        <v>1</v>
      </c>
      <c r="Q28" s="6" t="n">
        <v>2</v>
      </c>
      <c r="R28" s="6" t="n">
        <v>2</v>
      </c>
      <c r="S28" s="6" t="n">
        <v>1</v>
      </c>
      <c r="T28" s="6" t="n">
        <v>2</v>
      </c>
      <c r="U28" s="6" t="n">
        <v>2</v>
      </c>
      <c r="V28" s="6" t="n">
        <v>5</v>
      </c>
      <c r="W28" s="6" t="n">
        <v>4</v>
      </c>
      <c r="X28" s="6" t="n">
        <v>4</v>
      </c>
      <c r="Y28" s="6" t="n">
        <v>4</v>
      </c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26" t="n">
        <v>1.875</v>
      </c>
      <c r="AM28" s="26" t="n">
        <v>2</v>
      </c>
      <c r="AN28" s="26" t="n">
        <v>3</v>
      </c>
      <c r="AO28" s="26" t="n">
        <v>1.5</v>
      </c>
      <c r="AP28" s="26" t="n">
        <v>1.5</v>
      </c>
      <c r="AQ28" s="26" t="n">
        <v>2</v>
      </c>
      <c r="AR28" s="26" t="n">
        <v>4.25</v>
      </c>
      <c r="AS28" s="26" t="n"/>
      <c r="AT28" s="26" t="n"/>
      <c r="AU28" s="26" t="n"/>
      <c r="AV28" s="26" t="n"/>
      <c r="AW28" s="26" t="n"/>
      <c r="AX28" s="26" t="n"/>
      <c r="AY28" s="6" t="n"/>
      <c r="AZ28" s="6" t="n">
        <v>1</v>
      </c>
      <c r="BA28" s="6" t="n"/>
    </row>
    <row r="29">
      <c r="A29" s="6" t="inlineStr">
        <is>
          <t>R028</t>
        </is>
      </c>
      <c r="B29" s="6" t="n">
        <v>1</v>
      </c>
      <c r="C29" s="6" t="n">
        <v>1</v>
      </c>
      <c r="D29" s="6" t="n">
        <v>1</v>
      </c>
      <c r="E29" s="6" t="n">
        <v>37</v>
      </c>
      <c r="F29" s="6" t="n">
        <v>11</v>
      </c>
      <c r="G29" s="6" t="n">
        <v>2</v>
      </c>
      <c r="H29" s="6" t="n"/>
      <c r="I29" s="6" t="n">
        <v>4</v>
      </c>
      <c r="J29" s="6" t="n">
        <v>4</v>
      </c>
      <c r="K29" s="6" t="n"/>
      <c r="L29" s="6" t="n">
        <v>1</v>
      </c>
      <c r="M29" s="6" t="n">
        <v>2</v>
      </c>
      <c r="N29" s="6" t="n">
        <v>4</v>
      </c>
      <c r="O29" s="6" t="n">
        <v>4</v>
      </c>
      <c r="P29" s="6" t="n">
        <v>4</v>
      </c>
      <c r="Q29" s="6" t="n">
        <v>3</v>
      </c>
      <c r="R29" s="6" t="n">
        <v>3</v>
      </c>
      <c r="S29" s="6" t="n">
        <v>3</v>
      </c>
      <c r="T29" s="6" t="n">
        <v>5</v>
      </c>
      <c r="U29" s="6" t="n">
        <v>5</v>
      </c>
      <c r="V29" s="6" t="n">
        <v>3</v>
      </c>
      <c r="W29" s="6" t="n">
        <v>3</v>
      </c>
      <c r="X29" s="6" t="n">
        <v>4</v>
      </c>
      <c r="Y29" s="6" t="n">
        <v>5</v>
      </c>
      <c r="Z29" s="6" t="n">
        <v>3</v>
      </c>
      <c r="AA29" s="6" t="n">
        <v>2</v>
      </c>
      <c r="AB29" s="6" t="n">
        <v>3</v>
      </c>
      <c r="AC29" s="6" t="n">
        <v>2</v>
      </c>
      <c r="AD29" s="6" t="n">
        <v>3</v>
      </c>
      <c r="AE29" s="6" t="n">
        <v>3</v>
      </c>
      <c r="AF29" s="6" t="n">
        <v>2</v>
      </c>
      <c r="AG29" s="6" t="n">
        <v>3</v>
      </c>
      <c r="AH29" s="6" t="n">
        <v>3</v>
      </c>
      <c r="AI29" s="6" t="n">
        <v>3</v>
      </c>
      <c r="AJ29" s="6" t="n">
        <v>4</v>
      </c>
      <c r="AK29" s="6" t="n">
        <v>3</v>
      </c>
      <c r="AL29" s="26" t="n">
        <v>3.875</v>
      </c>
      <c r="AM29" s="26" t="n">
        <v>4</v>
      </c>
      <c r="AN29" s="26" t="n">
        <v>4</v>
      </c>
      <c r="AO29" s="26" t="n">
        <v>3.5</v>
      </c>
      <c r="AP29" s="26" t="n">
        <v>3</v>
      </c>
      <c r="AQ29" s="26" t="n">
        <v>5</v>
      </c>
      <c r="AR29" s="26" t="n">
        <v>3.75</v>
      </c>
      <c r="AS29" s="26" t="n">
        <v>2.5</v>
      </c>
      <c r="AT29" s="26" t="n">
        <v>2.5</v>
      </c>
      <c r="AU29" s="26" t="n">
        <v>3</v>
      </c>
      <c r="AV29" s="26" t="n">
        <v>2.5</v>
      </c>
      <c r="AW29" s="26" t="n">
        <v>2.625</v>
      </c>
      <c r="AX29" s="26" t="n">
        <v>3.25</v>
      </c>
      <c r="AY29" s="6" t="n">
        <v>0</v>
      </c>
      <c r="AZ29" s="6" t="n">
        <v>1</v>
      </c>
      <c r="BA29" s="6" t="n"/>
    </row>
    <row r="30">
      <c r="A30" s="6" t="inlineStr">
        <is>
          <t>R029</t>
        </is>
      </c>
      <c r="B30" s="6" t="n">
        <v>0</v>
      </c>
      <c r="C30" s="6" t="n">
        <v>1</v>
      </c>
      <c r="D30" s="6" t="n">
        <v>1</v>
      </c>
      <c r="E30" s="6" t="n">
        <v>32</v>
      </c>
      <c r="F30" s="6" t="n">
        <v>5</v>
      </c>
      <c r="G30" s="6" t="n">
        <v>2</v>
      </c>
      <c r="H30" s="6" t="n"/>
      <c r="I30" s="6" t="n">
        <v>4</v>
      </c>
      <c r="J30" s="6" t="n">
        <v>3</v>
      </c>
      <c r="K30" s="6" t="n"/>
      <c r="L30" s="6" t="n">
        <v>2</v>
      </c>
      <c r="M30" s="6" t="n">
        <v>1</v>
      </c>
      <c r="N30" s="6" t="n">
        <v>4</v>
      </c>
      <c r="O30" s="6" t="n">
        <v>4</v>
      </c>
      <c r="P30" s="6" t="n">
        <v>3</v>
      </c>
      <c r="Q30" s="6" t="n">
        <v>4</v>
      </c>
      <c r="R30" s="6" t="n">
        <v>4</v>
      </c>
      <c r="S30" s="6" t="n">
        <v>5</v>
      </c>
      <c r="T30" s="6" t="n">
        <v>5</v>
      </c>
      <c r="U30" s="6" t="n">
        <v>5</v>
      </c>
      <c r="V30" s="6" t="n">
        <v>4</v>
      </c>
      <c r="W30" s="6" t="n">
        <v>4</v>
      </c>
      <c r="X30" s="6" t="n">
        <v>3</v>
      </c>
      <c r="Y30" s="6" t="n">
        <v>4</v>
      </c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26" t="n">
        <v>4.25</v>
      </c>
      <c r="AM30" s="26" t="n">
        <v>4</v>
      </c>
      <c r="AN30" s="26" t="n">
        <v>4</v>
      </c>
      <c r="AO30" s="26" t="n">
        <v>3.5</v>
      </c>
      <c r="AP30" s="26" t="n">
        <v>4.5</v>
      </c>
      <c r="AQ30" s="26" t="n">
        <v>5</v>
      </c>
      <c r="AR30" s="26" t="n">
        <v>3.75</v>
      </c>
      <c r="AS30" s="26" t="n"/>
      <c r="AT30" s="26" t="n"/>
      <c r="AU30" s="26" t="n"/>
      <c r="AV30" s="26" t="n"/>
      <c r="AW30" s="26" t="n"/>
      <c r="AX30" s="26" t="n"/>
      <c r="AY30" s="6" t="n"/>
      <c r="AZ30" s="6" t="n">
        <v>1</v>
      </c>
      <c r="BA30" s="6" t="n"/>
    </row>
    <row r="31">
      <c r="A31" s="6" t="inlineStr">
        <is>
          <t>R030</t>
        </is>
      </c>
      <c r="B31" s="6" t="n">
        <v>0</v>
      </c>
      <c r="C31" s="6" t="n">
        <v>2</v>
      </c>
      <c r="D31" s="6" t="n">
        <v>2</v>
      </c>
      <c r="E31" s="6" t="n">
        <v>24</v>
      </c>
      <c r="F31" s="6" t="n">
        <v>1</v>
      </c>
      <c r="G31" s="6" t="n"/>
      <c r="H31" s="6" t="n"/>
      <c r="I31" s="6" t="n">
        <v>2</v>
      </c>
      <c r="J31" s="6" t="n">
        <v>2</v>
      </c>
      <c r="K31" s="6" t="n"/>
      <c r="L31" s="6" t="n">
        <v>2</v>
      </c>
      <c r="M31" s="6" t="n">
        <v>2</v>
      </c>
      <c r="N31" s="6" t="n">
        <v>4</v>
      </c>
      <c r="O31" s="6" t="n">
        <v>4</v>
      </c>
      <c r="P31" s="6" t="n">
        <v>4</v>
      </c>
      <c r="Q31" s="6" t="n">
        <v>4</v>
      </c>
      <c r="R31" s="6" t="n">
        <v>4</v>
      </c>
      <c r="S31" s="6" t="n">
        <v>4</v>
      </c>
      <c r="T31" s="6" t="n">
        <v>4</v>
      </c>
      <c r="U31" s="6" t="n">
        <v>4</v>
      </c>
      <c r="V31" s="6" t="n">
        <v>4</v>
      </c>
      <c r="W31" s="6" t="n">
        <v>4</v>
      </c>
      <c r="X31" s="6" t="n">
        <v>4</v>
      </c>
      <c r="Y31" s="6" t="n">
        <v>4</v>
      </c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26" t="n">
        <v>4</v>
      </c>
      <c r="AM31" s="26" t="n">
        <v>4</v>
      </c>
      <c r="AN31" s="26" t="n">
        <v>4</v>
      </c>
      <c r="AO31" s="26" t="n">
        <v>4</v>
      </c>
      <c r="AP31" s="26" t="n">
        <v>4</v>
      </c>
      <c r="AQ31" s="26" t="n">
        <v>4</v>
      </c>
      <c r="AR31" s="26" t="n">
        <v>4</v>
      </c>
      <c r="AS31" s="26" t="n"/>
      <c r="AT31" s="26" t="n"/>
      <c r="AU31" s="26" t="n"/>
      <c r="AV31" s="26" t="n"/>
      <c r="AW31" s="26" t="n"/>
      <c r="AX31" s="26" t="n"/>
      <c r="AY31" s="6" t="n"/>
      <c r="AZ31" s="6" t="n">
        <v>1</v>
      </c>
      <c r="BA31" s="6" t="n"/>
    </row>
    <row r="32">
      <c r="A32" s="6" t="inlineStr">
        <is>
          <t>R031</t>
        </is>
      </c>
      <c r="B32" s="6" t="n">
        <v>1</v>
      </c>
      <c r="C32" s="6" t="n">
        <v>2</v>
      </c>
      <c r="D32" s="6" t="n">
        <v>1</v>
      </c>
      <c r="E32" s="6" t="n">
        <v>30</v>
      </c>
      <c r="F32" s="6" t="n">
        <v>4</v>
      </c>
      <c r="G32" s="6" t="n">
        <v>1</v>
      </c>
      <c r="H32" s="6" t="n"/>
      <c r="I32" s="6" t="n">
        <v>3</v>
      </c>
      <c r="J32" s="6" t="n">
        <v>2</v>
      </c>
      <c r="K32" s="6" t="n"/>
      <c r="L32" s="6" t="n">
        <v>2</v>
      </c>
      <c r="M32" s="6" t="n">
        <v>3</v>
      </c>
      <c r="N32" s="6" t="n">
        <v>4</v>
      </c>
      <c r="O32" s="6" t="n">
        <v>4</v>
      </c>
      <c r="P32" s="6" t="n">
        <v>4</v>
      </c>
      <c r="Q32" s="6" t="n">
        <v>4</v>
      </c>
      <c r="R32" s="6" t="n">
        <v>4</v>
      </c>
      <c r="S32" s="6" t="n">
        <v>4</v>
      </c>
      <c r="T32" s="6" t="n">
        <v>4</v>
      </c>
      <c r="U32" s="6" t="n">
        <v>4</v>
      </c>
      <c r="V32" s="6" t="n">
        <v>2</v>
      </c>
      <c r="W32" s="6" t="n">
        <v>2</v>
      </c>
      <c r="X32" s="6" t="n">
        <v>2</v>
      </c>
      <c r="Y32" s="6" t="n">
        <v>2</v>
      </c>
      <c r="Z32" s="6" t="n">
        <v>4</v>
      </c>
      <c r="AA32" s="6" t="n">
        <v>4</v>
      </c>
      <c r="AB32" s="6" t="n">
        <v>4</v>
      </c>
      <c r="AC32" s="6" t="n">
        <v>4</v>
      </c>
      <c r="AD32" s="6" t="n">
        <v>2</v>
      </c>
      <c r="AE32" s="6" t="n">
        <v>2</v>
      </c>
      <c r="AF32" s="6" t="n">
        <v>4</v>
      </c>
      <c r="AG32" s="6" t="n">
        <v>3</v>
      </c>
      <c r="AH32" s="6" t="n">
        <v>1</v>
      </c>
      <c r="AI32" s="6" t="n">
        <v>2</v>
      </c>
      <c r="AJ32" s="6" t="n">
        <v>5</v>
      </c>
      <c r="AK32" s="6" t="n">
        <v>3</v>
      </c>
      <c r="AL32" s="26" t="n">
        <v>4</v>
      </c>
      <c r="AM32" s="26" t="n">
        <v>4</v>
      </c>
      <c r="AN32" s="26" t="n">
        <v>4</v>
      </c>
      <c r="AO32" s="26" t="n">
        <v>4</v>
      </c>
      <c r="AP32" s="26" t="n">
        <v>4</v>
      </c>
      <c r="AQ32" s="26" t="n">
        <v>4</v>
      </c>
      <c r="AR32" s="26" t="n">
        <v>2</v>
      </c>
      <c r="AS32" s="26" t="n">
        <v>4</v>
      </c>
      <c r="AT32" s="26" t="n">
        <v>4</v>
      </c>
      <c r="AU32" s="26" t="n">
        <v>2</v>
      </c>
      <c r="AV32" s="26" t="n">
        <v>3.5</v>
      </c>
      <c r="AW32" s="26" t="n">
        <v>3.375</v>
      </c>
      <c r="AX32" s="26" t="n">
        <v>2.75</v>
      </c>
      <c r="AY32" s="6" t="n">
        <v>0</v>
      </c>
      <c r="AZ32" s="6" t="n">
        <v>1</v>
      </c>
      <c r="BA32" s="6" t="n"/>
    </row>
    <row r="33">
      <c r="A33" s="6" t="inlineStr">
        <is>
          <t>R032</t>
        </is>
      </c>
      <c r="B33" s="6" t="n">
        <v>0</v>
      </c>
      <c r="C33" s="6" t="n">
        <v>2</v>
      </c>
      <c r="D33" s="6" t="n">
        <v>1</v>
      </c>
      <c r="E33" s="6" t="n">
        <v>52</v>
      </c>
      <c r="F33" s="6" t="n">
        <v>28</v>
      </c>
      <c r="G33" s="6" t="n">
        <v>1</v>
      </c>
      <c r="H33" s="6" t="n"/>
      <c r="I33" s="6" t="n">
        <v>4</v>
      </c>
      <c r="J33" s="6" t="n">
        <v>3</v>
      </c>
      <c r="K33" s="6" t="n"/>
      <c r="L33" s="6" t="n">
        <v>4</v>
      </c>
      <c r="M33" s="6" t="n">
        <v>3</v>
      </c>
      <c r="N33" s="6" t="n">
        <v>3</v>
      </c>
      <c r="O33" s="6" t="n">
        <v>3</v>
      </c>
      <c r="P33" s="6" t="n">
        <v>3</v>
      </c>
      <c r="Q33" s="6" t="n">
        <v>3</v>
      </c>
      <c r="R33" s="6" t="n">
        <v>3</v>
      </c>
      <c r="S33" s="6" t="n">
        <v>3</v>
      </c>
      <c r="T33" s="6" t="n">
        <v>4</v>
      </c>
      <c r="U33" s="6" t="n">
        <v>3</v>
      </c>
      <c r="V33" s="6" t="n">
        <v>5</v>
      </c>
      <c r="W33" s="6" t="n">
        <v>4</v>
      </c>
      <c r="X33" s="6" t="n">
        <v>5</v>
      </c>
      <c r="Y33" s="6" t="n">
        <v>5</v>
      </c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26" t="n">
        <v>3.125</v>
      </c>
      <c r="AM33" s="26" t="n">
        <v>3</v>
      </c>
      <c r="AN33" s="26" t="n">
        <v>3</v>
      </c>
      <c r="AO33" s="26" t="n">
        <v>3</v>
      </c>
      <c r="AP33" s="26" t="n">
        <v>3</v>
      </c>
      <c r="AQ33" s="26" t="n">
        <v>3.5</v>
      </c>
      <c r="AR33" s="26" t="n">
        <v>4.75</v>
      </c>
      <c r="AS33" s="26" t="n"/>
      <c r="AT33" s="26" t="n"/>
      <c r="AU33" s="26" t="n"/>
      <c r="AV33" s="26" t="n"/>
      <c r="AW33" s="26" t="n"/>
      <c r="AX33" s="26" t="n"/>
      <c r="AY33" s="6" t="n"/>
      <c r="AZ33" s="6" t="n">
        <v>1</v>
      </c>
      <c r="BA33" s="6" t="n"/>
    </row>
    <row r="34">
      <c r="A34" s="6" t="inlineStr">
        <is>
          <t>R033</t>
        </is>
      </c>
      <c r="B34" s="6" t="n">
        <v>1</v>
      </c>
      <c r="C34" s="6" t="n">
        <v>1</v>
      </c>
      <c r="D34" s="6" t="n">
        <v>1</v>
      </c>
      <c r="E34" s="6" t="n">
        <v>51</v>
      </c>
      <c r="F34" s="6" t="n">
        <v>30</v>
      </c>
      <c r="G34" s="6" t="n">
        <v>3</v>
      </c>
      <c r="H34" s="6" t="n"/>
      <c r="I34" s="6" t="n">
        <v>3</v>
      </c>
      <c r="J34" s="6" t="n">
        <v>5</v>
      </c>
      <c r="K34" s="6" t="inlineStr">
        <is>
          <t>현장상주 미상주시 대체직원 상주</t>
        </is>
      </c>
      <c r="L34" s="6" t="n">
        <v>1</v>
      </c>
      <c r="M34" s="6" t="n">
        <v>1</v>
      </c>
      <c r="N34" s="6" t="n">
        <v>4</v>
      </c>
      <c r="O34" s="6" t="n">
        <v>4</v>
      </c>
      <c r="P34" s="6" t="n">
        <v>4</v>
      </c>
      <c r="Q34" s="6" t="n">
        <v>4</v>
      </c>
      <c r="R34" s="6" t="n">
        <v>4</v>
      </c>
      <c r="S34" s="6" t="n">
        <v>4</v>
      </c>
      <c r="T34" s="6" t="n">
        <v>4</v>
      </c>
      <c r="U34" s="6" t="n">
        <v>4</v>
      </c>
      <c r="V34" s="6" t="n">
        <v>4</v>
      </c>
      <c r="W34" s="6" t="n">
        <v>3</v>
      </c>
      <c r="X34" s="6" t="n">
        <v>4</v>
      </c>
      <c r="Y34" s="6" t="n">
        <v>3</v>
      </c>
      <c r="Z34" s="6" t="n">
        <v>4</v>
      </c>
      <c r="AA34" s="6" t="n">
        <v>4</v>
      </c>
      <c r="AB34" s="6" t="n">
        <v>4</v>
      </c>
      <c r="AC34" s="6" t="n">
        <v>4</v>
      </c>
      <c r="AD34" s="6" t="n">
        <v>3</v>
      </c>
      <c r="AE34" s="6" t="n">
        <v>3</v>
      </c>
      <c r="AF34" s="6" t="n">
        <v>3</v>
      </c>
      <c r="AG34" s="6" t="n">
        <v>3</v>
      </c>
      <c r="AH34" s="6" t="n">
        <v>3</v>
      </c>
      <c r="AI34" s="6" t="n">
        <v>3</v>
      </c>
      <c r="AJ34" s="6" t="n">
        <v>4</v>
      </c>
      <c r="AK34" s="6" t="n">
        <v>3</v>
      </c>
      <c r="AL34" s="26" t="n">
        <v>4</v>
      </c>
      <c r="AM34" s="26" t="n">
        <v>4</v>
      </c>
      <c r="AN34" s="26" t="n">
        <v>4</v>
      </c>
      <c r="AO34" s="26" t="n">
        <v>4</v>
      </c>
      <c r="AP34" s="26" t="n">
        <v>4</v>
      </c>
      <c r="AQ34" s="26" t="n">
        <v>4</v>
      </c>
      <c r="AR34" s="26" t="n">
        <v>3.5</v>
      </c>
      <c r="AS34" s="26" t="n">
        <v>4</v>
      </c>
      <c r="AT34" s="26" t="n">
        <v>4</v>
      </c>
      <c r="AU34" s="26" t="n">
        <v>3</v>
      </c>
      <c r="AV34" s="26" t="n">
        <v>3</v>
      </c>
      <c r="AW34" s="26" t="n">
        <v>3.5</v>
      </c>
      <c r="AX34" s="26" t="n">
        <v>3.25</v>
      </c>
      <c r="AY34" s="6" t="n">
        <v>0</v>
      </c>
      <c r="AZ34" s="6" t="n">
        <v>1</v>
      </c>
      <c r="BA34" s="6" t="n"/>
    </row>
    <row r="35">
      <c r="A35" s="6" t="inlineStr">
        <is>
          <t>R034</t>
        </is>
      </c>
      <c r="B35" s="6" t="n">
        <v>1</v>
      </c>
      <c r="C35" s="6" t="n">
        <v>1</v>
      </c>
      <c r="D35" s="6" t="n">
        <v>1</v>
      </c>
      <c r="E35" s="6" t="n">
        <v>58</v>
      </c>
      <c r="F35" s="6" t="n">
        <v>6</v>
      </c>
      <c r="G35" s="6" t="n">
        <v>2</v>
      </c>
      <c r="H35" s="6" t="n"/>
      <c r="I35" s="6" t="n">
        <v>3</v>
      </c>
      <c r="J35" s="6" t="n">
        <v>4</v>
      </c>
      <c r="K35" s="6" t="n"/>
      <c r="L35" s="6" t="n">
        <v>3</v>
      </c>
      <c r="M35" s="6" t="n">
        <v>1</v>
      </c>
      <c r="N35" s="6" t="n">
        <v>4</v>
      </c>
      <c r="O35" s="6" t="n">
        <v>4</v>
      </c>
      <c r="P35" s="6" t="n">
        <v>4</v>
      </c>
      <c r="Q35" s="6" t="n">
        <v>4</v>
      </c>
      <c r="R35" s="6" t="n">
        <v>4</v>
      </c>
      <c r="S35" s="6" t="n">
        <v>4</v>
      </c>
      <c r="T35" s="6" t="n">
        <v>4</v>
      </c>
      <c r="U35" s="6" t="n">
        <v>4</v>
      </c>
      <c r="V35" s="6" t="n">
        <v>2</v>
      </c>
      <c r="W35" s="6" t="n">
        <v>2</v>
      </c>
      <c r="X35" s="6" t="n">
        <v>2</v>
      </c>
      <c r="Y35" s="6" t="n">
        <v>2</v>
      </c>
      <c r="Z35" s="6" t="n">
        <v>3</v>
      </c>
      <c r="AA35" s="6" t="n">
        <v>4</v>
      </c>
      <c r="AB35" s="6" t="n">
        <v>4</v>
      </c>
      <c r="AC35" s="6" t="n">
        <v>3</v>
      </c>
      <c r="AD35" s="6" t="n">
        <v>3</v>
      </c>
      <c r="AE35" s="6" t="n">
        <v>3</v>
      </c>
      <c r="AF35" s="6" t="n">
        <v>4</v>
      </c>
      <c r="AG35" s="6" t="n">
        <v>3</v>
      </c>
      <c r="AH35" s="6" t="n">
        <v>4</v>
      </c>
      <c r="AI35" s="6" t="n">
        <v>4</v>
      </c>
      <c r="AJ35" s="6" t="n">
        <v>4</v>
      </c>
      <c r="AK35" s="6" t="n">
        <v>4</v>
      </c>
      <c r="AL35" s="26" t="n">
        <v>4</v>
      </c>
      <c r="AM35" s="26" t="n">
        <v>4</v>
      </c>
      <c r="AN35" s="26" t="n">
        <v>4</v>
      </c>
      <c r="AO35" s="26" t="n">
        <v>4</v>
      </c>
      <c r="AP35" s="26" t="n">
        <v>4</v>
      </c>
      <c r="AQ35" s="26" t="n">
        <v>4</v>
      </c>
      <c r="AR35" s="26" t="n">
        <v>2</v>
      </c>
      <c r="AS35" s="26" t="n">
        <v>3.5</v>
      </c>
      <c r="AT35" s="26" t="n">
        <v>3.5</v>
      </c>
      <c r="AU35" s="26" t="n">
        <v>3</v>
      </c>
      <c r="AV35" s="26" t="n">
        <v>3.5</v>
      </c>
      <c r="AW35" s="26" t="n">
        <v>3.375</v>
      </c>
      <c r="AX35" s="26" t="n">
        <v>4</v>
      </c>
      <c r="AY35" s="6" t="n">
        <v>1</v>
      </c>
      <c r="AZ35" s="6" t="n">
        <v>1</v>
      </c>
      <c r="BA35" s="6" t="n"/>
    </row>
    <row r="36">
      <c r="A36" s="6" t="inlineStr">
        <is>
          <t>R035</t>
        </is>
      </c>
      <c r="B36" s="6" t="n">
        <v>1</v>
      </c>
      <c r="C36" s="6" t="n">
        <v>1</v>
      </c>
      <c r="D36" s="6" t="n">
        <v>1</v>
      </c>
      <c r="E36" s="6" t="n">
        <v>46</v>
      </c>
      <c r="F36" s="6" t="n">
        <v>20</v>
      </c>
      <c r="G36" s="6" t="n">
        <v>3</v>
      </c>
      <c r="H36" s="6" t="n"/>
      <c r="I36" s="6" t="n">
        <v>4</v>
      </c>
      <c r="J36" s="6" t="n">
        <v>2</v>
      </c>
      <c r="K36" s="6" t="n"/>
      <c r="L36" s="6" t="n">
        <v>2</v>
      </c>
      <c r="M36" s="6" t="n">
        <v>2</v>
      </c>
      <c r="N36" s="6" t="n">
        <v>4</v>
      </c>
      <c r="O36" s="6" t="n">
        <v>4</v>
      </c>
      <c r="P36" s="6" t="n">
        <v>3</v>
      </c>
      <c r="Q36" s="6" t="n">
        <v>3</v>
      </c>
      <c r="R36" s="6" t="n">
        <v>3</v>
      </c>
      <c r="S36" s="6" t="n">
        <v>4</v>
      </c>
      <c r="T36" s="6" t="n">
        <v>4</v>
      </c>
      <c r="U36" s="6" t="n">
        <v>4</v>
      </c>
      <c r="V36" s="6" t="n">
        <v>4</v>
      </c>
      <c r="W36" s="6" t="n">
        <v>4</v>
      </c>
      <c r="X36" s="6" t="n">
        <v>4</v>
      </c>
      <c r="Y36" s="6" t="n">
        <v>4</v>
      </c>
      <c r="Z36" s="6" t="n">
        <v>3</v>
      </c>
      <c r="AA36" s="6" t="n">
        <v>3</v>
      </c>
      <c r="AB36" s="6" t="n">
        <v>4</v>
      </c>
      <c r="AC36" s="6" t="n">
        <v>3</v>
      </c>
      <c r="AD36" s="6" t="n">
        <v>3</v>
      </c>
      <c r="AE36" s="6" t="n">
        <v>4</v>
      </c>
      <c r="AF36" s="6" t="n">
        <v>5</v>
      </c>
      <c r="AG36" s="6" t="n">
        <v>3</v>
      </c>
      <c r="AH36" s="6" t="n">
        <v>1</v>
      </c>
      <c r="AI36" s="6" t="n">
        <v>2</v>
      </c>
      <c r="AJ36" s="6" t="n">
        <v>4</v>
      </c>
      <c r="AK36" s="6" t="n">
        <v>5</v>
      </c>
      <c r="AL36" s="26" t="n">
        <v>3.625</v>
      </c>
      <c r="AM36" s="26" t="n">
        <v>4</v>
      </c>
      <c r="AN36" s="26" t="n">
        <v>4</v>
      </c>
      <c r="AO36" s="26" t="n">
        <v>3</v>
      </c>
      <c r="AP36" s="26" t="n">
        <v>3.5</v>
      </c>
      <c r="AQ36" s="26" t="n">
        <v>4</v>
      </c>
      <c r="AR36" s="26" t="n">
        <v>4</v>
      </c>
      <c r="AS36" s="26" t="n">
        <v>3</v>
      </c>
      <c r="AT36" s="26" t="n">
        <v>3.5</v>
      </c>
      <c r="AU36" s="26" t="n">
        <v>3.5</v>
      </c>
      <c r="AV36" s="26" t="n">
        <v>4</v>
      </c>
      <c r="AW36" s="26" t="n">
        <v>3.5</v>
      </c>
      <c r="AX36" s="26" t="n">
        <v>3</v>
      </c>
      <c r="AY36" s="6" t="n">
        <v>0</v>
      </c>
      <c r="AZ36" s="6" t="n">
        <v>1</v>
      </c>
      <c r="BA36" s="6" t="n"/>
    </row>
    <row r="37">
      <c r="A37" s="6" t="inlineStr">
        <is>
          <t>R036</t>
        </is>
      </c>
      <c r="B37" s="6" t="n">
        <v>0</v>
      </c>
      <c r="C37" s="6" t="n">
        <v>2</v>
      </c>
      <c r="D37" s="6" t="n">
        <v>1</v>
      </c>
      <c r="E37" s="6" t="n">
        <v>60</v>
      </c>
      <c r="F37" s="6" t="n">
        <v>36</v>
      </c>
      <c r="G37" s="6" t="n">
        <v>1</v>
      </c>
      <c r="H37" s="6" t="n"/>
      <c r="I37" s="6" t="n">
        <v>4</v>
      </c>
      <c r="J37" s="6" t="n">
        <v>2</v>
      </c>
      <c r="K37" s="6" t="n"/>
      <c r="L37" s="6" t="n">
        <v>2</v>
      </c>
      <c r="M37" s="6" t="n">
        <v>2</v>
      </c>
      <c r="N37" s="6" t="n">
        <v>3</v>
      </c>
      <c r="O37" s="6" t="n">
        <v>3</v>
      </c>
      <c r="P37" s="6" t="n">
        <v>2</v>
      </c>
      <c r="Q37" s="6" t="n">
        <v>3</v>
      </c>
      <c r="R37" s="6" t="n">
        <v>2</v>
      </c>
      <c r="S37" s="6" t="n">
        <v>2</v>
      </c>
      <c r="T37" s="6" t="n">
        <v>3</v>
      </c>
      <c r="U37" s="6" t="n">
        <v>3</v>
      </c>
      <c r="V37" s="6" t="n">
        <v>2</v>
      </c>
      <c r="W37" s="6" t="n">
        <v>2</v>
      </c>
      <c r="X37" s="6" t="n">
        <v>3</v>
      </c>
      <c r="Y37" s="6" t="n">
        <v>2</v>
      </c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26" t="n">
        <v>2.625</v>
      </c>
      <c r="AM37" s="26" t="n">
        <v>3</v>
      </c>
      <c r="AN37" s="26" t="n">
        <v>3</v>
      </c>
      <c r="AO37" s="26" t="n">
        <v>2.5</v>
      </c>
      <c r="AP37" s="26" t="n">
        <v>2</v>
      </c>
      <c r="AQ37" s="26" t="n">
        <v>3</v>
      </c>
      <c r="AR37" s="26" t="n">
        <v>2.25</v>
      </c>
      <c r="AS37" s="26" t="n"/>
      <c r="AT37" s="26" t="n"/>
      <c r="AU37" s="26" t="n"/>
      <c r="AV37" s="26" t="n"/>
      <c r="AW37" s="26" t="n"/>
      <c r="AX37" s="26" t="n"/>
      <c r="AY37" s="6" t="n"/>
      <c r="AZ37" s="6" t="n">
        <v>1</v>
      </c>
      <c r="BA37" s="6" t="n"/>
    </row>
    <row r="38">
      <c r="A38" s="6" t="inlineStr">
        <is>
          <t>R037</t>
        </is>
      </c>
      <c r="B38" s="6" t="n">
        <v>1</v>
      </c>
      <c r="C38" s="6" t="n">
        <v>2</v>
      </c>
      <c r="D38" s="6" t="n">
        <v>1</v>
      </c>
      <c r="E38" s="6" t="n">
        <v>56</v>
      </c>
      <c r="F38" s="6" t="n">
        <v>30</v>
      </c>
      <c r="G38" s="6" t="n">
        <v>4</v>
      </c>
      <c r="H38" s="6" t="inlineStr">
        <is>
          <t>사업관리(부장)</t>
        </is>
      </c>
      <c r="I38" s="6" t="n">
        <v>3</v>
      </c>
      <c r="J38" s="6" t="n">
        <v>4</v>
      </c>
      <c r="K38" s="6" t="n"/>
      <c r="L38" s="6" t="n">
        <v>3</v>
      </c>
      <c r="M38" s="6" t="n">
        <v>1</v>
      </c>
      <c r="N38" s="6" t="n">
        <v>3</v>
      </c>
      <c r="O38" s="6" t="n">
        <v>5</v>
      </c>
      <c r="P38" s="6" t="n">
        <v>3</v>
      </c>
      <c r="Q38" s="6" t="n">
        <v>5</v>
      </c>
      <c r="R38" s="6" t="n">
        <v>4</v>
      </c>
      <c r="S38" s="6" t="n">
        <v>3</v>
      </c>
      <c r="T38" s="6" t="n">
        <v>5</v>
      </c>
      <c r="U38" s="6" t="n">
        <v>5</v>
      </c>
      <c r="V38" s="6" t="n">
        <v>2</v>
      </c>
      <c r="W38" s="6" t="n">
        <v>2</v>
      </c>
      <c r="X38" s="6" t="n">
        <v>2</v>
      </c>
      <c r="Y38" s="6" t="n">
        <v>4</v>
      </c>
      <c r="Z38" s="6" t="n">
        <v>4</v>
      </c>
      <c r="AA38" s="6" t="n">
        <v>4</v>
      </c>
      <c r="AB38" s="6" t="n">
        <v>4</v>
      </c>
      <c r="AC38" s="6" t="n">
        <v>4</v>
      </c>
      <c r="AD38" s="6" t="n">
        <v>4</v>
      </c>
      <c r="AE38" s="6" t="n">
        <v>3</v>
      </c>
      <c r="AF38" s="6" t="n">
        <v>5</v>
      </c>
      <c r="AG38" s="6" t="n">
        <v>5</v>
      </c>
      <c r="AH38" s="6" t="n">
        <v>5</v>
      </c>
      <c r="AI38" s="6" t="n">
        <v>5</v>
      </c>
      <c r="AJ38" s="6" t="n">
        <v>5</v>
      </c>
      <c r="AK38" s="6" t="n">
        <v>5</v>
      </c>
      <c r="AL38" s="26" t="n">
        <v>4.125</v>
      </c>
      <c r="AM38" s="26" t="n">
        <v>3</v>
      </c>
      <c r="AN38" s="26" t="n">
        <v>5</v>
      </c>
      <c r="AO38" s="26" t="n">
        <v>4</v>
      </c>
      <c r="AP38" s="26" t="n">
        <v>3.5</v>
      </c>
      <c r="AQ38" s="26" t="n">
        <v>5</v>
      </c>
      <c r="AR38" s="26" t="n">
        <v>2.5</v>
      </c>
      <c r="AS38" s="26" t="n">
        <v>4</v>
      </c>
      <c r="AT38" s="26" t="n">
        <v>4</v>
      </c>
      <c r="AU38" s="26" t="n">
        <v>3.5</v>
      </c>
      <c r="AV38" s="26" t="n">
        <v>5</v>
      </c>
      <c r="AW38" s="26" t="n">
        <v>4.125</v>
      </c>
      <c r="AX38" s="26" t="n">
        <v>5</v>
      </c>
      <c r="AY38" s="6" t="n">
        <v>1</v>
      </c>
      <c r="AZ38" s="6" t="n">
        <v>1</v>
      </c>
      <c r="BA38" s="6" t="n"/>
    </row>
    <row r="39">
      <c r="A39" s="6" t="inlineStr">
        <is>
          <t>R038</t>
        </is>
      </c>
      <c r="B39" s="6" t="n">
        <v>0</v>
      </c>
      <c r="C39" s="6" t="n">
        <v>1</v>
      </c>
      <c r="D39" s="6" t="n">
        <v>1</v>
      </c>
      <c r="E39" s="6" t="n">
        <v>57</v>
      </c>
      <c r="F39" s="6" t="n">
        <v>32</v>
      </c>
      <c r="G39" s="6" t="n">
        <v>3</v>
      </c>
      <c r="H39" s="6" t="n"/>
      <c r="I39" s="6" t="n">
        <v>1</v>
      </c>
      <c r="J39" s="6" t="n">
        <v>5</v>
      </c>
      <c r="K39" s="6" t="inlineStr">
        <is>
          <t>현장상주 직접확인</t>
        </is>
      </c>
      <c r="L39" s="6" t="n">
        <v>2</v>
      </c>
      <c r="M39" s="6" t="n">
        <v>1</v>
      </c>
      <c r="N39" s="6" t="n">
        <v>5</v>
      </c>
      <c r="O39" s="6" t="n">
        <v>5</v>
      </c>
      <c r="P39" s="6" t="n">
        <v>5</v>
      </c>
      <c r="Q39" s="6" t="n">
        <v>5</v>
      </c>
      <c r="R39" s="6" t="n">
        <v>5</v>
      </c>
      <c r="S39" s="6" t="n">
        <v>5</v>
      </c>
      <c r="T39" s="6" t="n">
        <v>5</v>
      </c>
      <c r="U39" s="6" t="n">
        <v>5</v>
      </c>
      <c r="V39" s="6" t="n">
        <v>1</v>
      </c>
      <c r="W39" s="6" t="n">
        <v>1</v>
      </c>
      <c r="X39" s="6" t="n">
        <v>1</v>
      </c>
      <c r="Y39" s="6" t="n">
        <v>1</v>
      </c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26" t="n">
        <v>5</v>
      </c>
      <c r="AM39" s="26" t="n">
        <v>5</v>
      </c>
      <c r="AN39" s="26" t="n">
        <v>5</v>
      </c>
      <c r="AO39" s="26" t="n">
        <v>5</v>
      </c>
      <c r="AP39" s="26" t="n">
        <v>5</v>
      </c>
      <c r="AQ39" s="26" t="n">
        <v>5</v>
      </c>
      <c r="AR39" s="26" t="n">
        <v>1</v>
      </c>
      <c r="AS39" s="26" t="n"/>
      <c r="AT39" s="26" t="n"/>
      <c r="AU39" s="26" t="n"/>
      <c r="AV39" s="26" t="n"/>
      <c r="AW39" s="26" t="n"/>
      <c r="AX39" s="26" t="n"/>
      <c r="AY39" s="6" t="n"/>
      <c r="AZ39" s="6" t="n">
        <v>1</v>
      </c>
      <c r="BA39" s="6" t="n"/>
    </row>
    <row r="40">
      <c r="A40" s="6" t="inlineStr">
        <is>
          <t>R039</t>
        </is>
      </c>
      <c r="B40" s="6" t="n">
        <v>0</v>
      </c>
      <c r="C40" s="6" t="n">
        <v>2</v>
      </c>
      <c r="D40" s="6" t="n">
        <v>1</v>
      </c>
      <c r="E40" s="6" t="n">
        <v>55</v>
      </c>
      <c r="F40" s="6" t="n">
        <v>25</v>
      </c>
      <c r="G40" s="6" t="n">
        <v>4</v>
      </c>
      <c r="H40" s="6" t="inlineStr">
        <is>
          <t>기술사사무소</t>
        </is>
      </c>
      <c r="I40" s="6" t="n">
        <v>1</v>
      </c>
      <c r="J40" s="6" t="n">
        <v>1</v>
      </c>
      <c r="K40" s="6" t="n"/>
      <c r="L40" s="6" t="n">
        <v>2</v>
      </c>
      <c r="M40" s="6" t="n">
        <v>4</v>
      </c>
      <c r="N40" s="6" t="n">
        <v>3</v>
      </c>
      <c r="O40" s="6" t="n">
        <v>4</v>
      </c>
      <c r="P40" s="6" t="n">
        <v>2</v>
      </c>
      <c r="Q40" s="6" t="n">
        <v>2</v>
      </c>
      <c r="R40" s="6" t="n">
        <v>2</v>
      </c>
      <c r="S40" s="6" t="n">
        <v>3</v>
      </c>
      <c r="T40" s="6" t="n">
        <v>3</v>
      </c>
      <c r="U40" s="6" t="n">
        <v>3</v>
      </c>
      <c r="V40" s="6" t="n">
        <v>4</v>
      </c>
      <c r="W40" s="6" t="n">
        <v>4</v>
      </c>
      <c r="X40" s="6" t="n">
        <v>4</v>
      </c>
      <c r="Y40" s="6" t="n">
        <v>5</v>
      </c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26" t="n">
        <v>2.75</v>
      </c>
      <c r="AM40" s="26" t="n">
        <v>3</v>
      </c>
      <c r="AN40" s="26" t="n">
        <v>4</v>
      </c>
      <c r="AO40" s="26" t="n">
        <v>2</v>
      </c>
      <c r="AP40" s="26" t="n">
        <v>2.5</v>
      </c>
      <c r="AQ40" s="26" t="n">
        <v>3</v>
      </c>
      <c r="AR40" s="26" t="n">
        <v>4.25</v>
      </c>
      <c r="AS40" s="26" t="n"/>
      <c r="AT40" s="26" t="n"/>
      <c r="AU40" s="26" t="n"/>
      <c r="AV40" s="26" t="n"/>
      <c r="AW40" s="26" t="n"/>
      <c r="AX40" s="26" t="n"/>
      <c r="AY40" s="6" t="n"/>
      <c r="AZ40" s="6" t="n">
        <v>1</v>
      </c>
      <c r="BA40" s="6" t="n"/>
    </row>
    <row r="41">
      <c r="A41" s="6" t="inlineStr">
        <is>
          <t>R040</t>
        </is>
      </c>
      <c r="B41" s="6" t="n">
        <v>1</v>
      </c>
      <c r="C41" s="6" t="n">
        <v>1</v>
      </c>
      <c r="D41" s="6" t="n">
        <v>1</v>
      </c>
      <c r="E41" s="6" t="n">
        <v>59</v>
      </c>
      <c r="F41" s="6" t="n">
        <v>32</v>
      </c>
      <c r="G41" s="6" t="n">
        <v>3</v>
      </c>
      <c r="H41" s="6" t="n"/>
      <c r="I41" s="6" t="n">
        <v>3</v>
      </c>
      <c r="J41" s="6" t="n">
        <v>2</v>
      </c>
      <c r="K41" s="6" t="n"/>
      <c r="L41" s="6" t="n">
        <v>2</v>
      </c>
      <c r="M41" s="6" t="n">
        <v>1</v>
      </c>
      <c r="N41" s="6" t="n">
        <v>4</v>
      </c>
      <c r="O41" s="6" t="n">
        <v>5</v>
      </c>
      <c r="P41" s="6" t="n">
        <v>4</v>
      </c>
      <c r="Q41" s="6" t="n">
        <v>4</v>
      </c>
      <c r="R41" s="6" t="n">
        <v>4</v>
      </c>
      <c r="S41" s="6" t="n">
        <v>5</v>
      </c>
      <c r="T41" s="6" t="n">
        <v>5</v>
      </c>
      <c r="U41" s="6" t="n">
        <v>5</v>
      </c>
      <c r="V41" s="6" t="n">
        <v>4</v>
      </c>
      <c r="W41" s="6" t="n">
        <v>4</v>
      </c>
      <c r="X41" s="6" t="n">
        <v>4</v>
      </c>
      <c r="Y41" s="6" t="n">
        <v>4</v>
      </c>
      <c r="Z41" s="6" t="n">
        <v>3</v>
      </c>
      <c r="AA41" s="6" t="n">
        <v>4</v>
      </c>
      <c r="AB41" s="6" t="n">
        <v>4</v>
      </c>
      <c r="AC41" s="6" t="n">
        <v>2</v>
      </c>
      <c r="AD41" s="6" t="n">
        <v>3</v>
      </c>
      <c r="AE41" s="6" t="n">
        <v>3</v>
      </c>
      <c r="AF41" s="6" t="n">
        <v>4</v>
      </c>
      <c r="AG41" s="6" t="n">
        <v>3</v>
      </c>
      <c r="AH41" s="6" t="n">
        <v>2</v>
      </c>
      <c r="AI41" s="6" t="n">
        <v>2</v>
      </c>
      <c r="AJ41" s="6" t="n">
        <v>3</v>
      </c>
      <c r="AK41" s="6" t="n">
        <v>2</v>
      </c>
      <c r="AL41" s="26" t="n">
        <v>4.5</v>
      </c>
      <c r="AM41" s="26" t="n">
        <v>4</v>
      </c>
      <c r="AN41" s="26" t="n">
        <v>5</v>
      </c>
      <c r="AO41" s="26" t="n">
        <v>4</v>
      </c>
      <c r="AP41" s="26" t="n">
        <v>4.5</v>
      </c>
      <c r="AQ41" s="26" t="n">
        <v>5</v>
      </c>
      <c r="AR41" s="26" t="n">
        <v>4</v>
      </c>
      <c r="AS41" s="26" t="n">
        <v>3.5</v>
      </c>
      <c r="AT41" s="26" t="n">
        <v>3</v>
      </c>
      <c r="AU41" s="26" t="n">
        <v>3</v>
      </c>
      <c r="AV41" s="26" t="n">
        <v>3.5</v>
      </c>
      <c r="AW41" s="26" t="n">
        <v>3.25</v>
      </c>
      <c r="AX41" s="26" t="n">
        <v>2.25</v>
      </c>
      <c r="AY41" s="6" t="n">
        <v>0</v>
      </c>
      <c r="AZ41" s="6" t="n">
        <v>1</v>
      </c>
      <c r="BA41" s="6" t="n"/>
    </row>
    <row r="42">
      <c r="A42" s="6" t="inlineStr">
        <is>
          <t>R041</t>
        </is>
      </c>
      <c r="B42" s="6" t="n">
        <v>0</v>
      </c>
      <c r="C42" s="6" t="n">
        <v>2</v>
      </c>
      <c r="D42" s="6" t="n">
        <v>1</v>
      </c>
      <c r="E42" s="6" t="n">
        <v>48</v>
      </c>
      <c r="F42" s="6" t="n">
        <v>14</v>
      </c>
      <c r="G42" s="6" t="n">
        <v>1</v>
      </c>
      <c r="H42" s="6" t="n"/>
      <c r="I42" s="6" t="n">
        <v>3</v>
      </c>
      <c r="J42" s="6" t="n">
        <v>2</v>
      </c>
      <c r="K42" s="6" t="n"/>
      <c r="L42" s="6" t="n">
        <v>3</v>
      </c>
      <c r="M42" s="6" t="n">
        <v>2</v>
      </c>
      <c r="N42" s="6" t="n">
        <v>4</v>
      </c>
      <c r="O42" s="6" t="n">
        <v>5</v>
      </c>
      <c r="P42" s="6" t="n">
        <v>5</v>
      </c>
      <c r="Q42" s="6" t="n">
        <v>5</v>
      </c>
      <c r="R42" s="6" t="n">
        <v>5</v>
      </c>
      <c r="S42" s="6" t="n">
        <v>5</v>
      </c>
      <c r="T42" s="6" t="n">
        <v>5</v>
      </c>
      <c r="U42" s="6" t="n">
        <v>5</v>
      </c>
      <c r="V42" s="6" t="n">
        <v>2</v>
      </c>
      <c r="W42" s="6" t="n">
        <v>3</v>
      </c>
      <c r="X42" s="6" t="n">
        <v>3</v>
      </c>
      <c r="Y42" s="6" t="n">
        <v>3</v>
      </c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26" t="n">
        <v>4.875</v>
      </c>
      <c r="AM42" s="26" t="n">
        <v>4</v>
      </c>
      <c r="AN42" s="26" t="n">
        <v>5</v>
      </c>
      <c r="AO42" s="26" t="n">
        <v>5</v>
      </c>
      <c r="AP42" s="26" t="n">
        <v>5</v>
      </c>
      <c r="AQ42" s="26" t="n">
        <v>5</v>
      </c>
      <c r="AR42" s="26" t="n">
        <v>2.75</v>
      </c>
      <c r="AS42" s="26" t="n"/>
      <c r="AT42" s="26" t="n"/>
      <c r="AU42" s="26" t="n"/>
      <c r="AV42" s="26" t="n"/>
      <c r="AW42" s="26" t="n"/>
      <c r="AX42" s="26" t="n"/>
      <c r="AY42" s="6" t="n"/>
      <c r="AZ42" s="6" t="n">
        <v>1</v>
      </c>
      <c r="BA42" s="6" t="n"/>
    </row>
    <row r="43">
      <c r="A43" s="6" t="inlineStr">
        <is>
          <t>R042</t>
        </is>
      </c>
      <c r="B43" s="6" t="n">
        <v>0</v>
      </c>
      <c r="C43" s="6" t="n">
        <v>1</v>
      </c>
      <c r="D43" s="6" t="n">
        <v>1</v>
      </c>
      <c r="E43" s="6" t="n">
        <v>48</v>
      </c>
      <c r="F43" s="6" t="n">
        <v>20</v>
      </c>
      <c r="G43" s="6" t="n">
        <v>3</v>
      </c>
      <c r="H43" s="6" t="n"/>
      <c r="I43" s="6" t="n">
        <v>2</v>
      </c>
      <c r="J43" s="6" t="n">
        <v>2</v>
      </c>
      <c r="K43" s="6" t="n"/>
      <c r="L43" s="6" t="n">
        <v>2</v>
      </c>
      <c r="M43" s="6" t="n">
        <v>2</v>
      </c>
      <c r="N43" s="6" t="n">
        <v>4</v>
      </c>
      <c r="O43" s="6" t="n">
        <v>5</v>
      </c>
      <c r="P43" s="6" t="n">
        <v>4</v>
      </c>
      <c r="Q43" s="6" t="n">
        <v>4</v>
      </c>
      <c r="R43" s="6" t="n">
        <v>4</v>
      </c>
      <c r="S43" s="6" t="n">
        <v>4</v>
      </c>
      <c r="T43" s="6" t="n">
        <v>4</v>
      </c>
      <c r="U43" s="6" t="n">
        <v>4</v>
      </c>
      <c r="V43" s="6" t="n">
        <v>4</v>
      </c>
      <c r="W43" s="6" t="n">
        <v>4</v>
      </c>
      <c r="X43" s="6" t="n">
        <v>4</v>
      </c>
      <c r="Y43" s="6" t="n">
        <v>4</v>
      </c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26" t="n">
        <v>4.125</v>
      </c>
      <c r="AM43" s="26" t="n">
        <v>4</v>
      </c>
      <c r="AN43" s="26" t="n">
        <v>5</v>
      </c>
      <c r="AO43" s="26" t="n">
        <v>4</v>
      </c>
      <c r="AP43" s="26" t="n">
        <v>4</v>
      </c>
      <c r="AQ43" s="26" t="n">
        <v>4</v>
      </c>
      <c r="AR43" s="26" t="n">
        <v>4</v>
      </c>
      <c r="AS43" s="26" t="n"/>
      <c r="AT43" s="26" t="n"/>
      <c r="AU43" s="26" t="n"/>
      <c r="AV43" s="26" t="n"/>
      <c r="AW43" s="26" t="n"/>
      <c r="AX43" s="26" t="n"/>
      <c r="AY43" s="6" t="n"/>
      <c r="AZ43" s="6" t="n">
        <v>1</v>
      </c>
      <c r="BA43" s="6" t="n"/>
    </row>
    <row r="44">
      <c r="A44" s="6" t="inlineStr">
        <is>
          <t>R043</t>
        </is>
      </c>
      <c r="B44" s="6" t="n">
        <v>0</v>
      </c>
      <c r="C44" s="6" t="n">
        <v>1</v>
      </c>
      <c r="D44" s="6" t="n">
        <v>1</v>
      </c>
      <c r="E44" s="6" t="n">
        <v>44</v>
      </c>
      <c r="F44" s="6" t="n">
        <v>17</v>
      </c>
      <c r="G44" s="6" t="n">
        <v>1</v>
      </c>
      <c r="H44" s="6" t="n"/>
      <c r="I44" s="6" t="n">
        <v>4</v>
      </c>
      <c r="J44" s="6" t="n">
        <v>2</v>
      </c>
      <c r="K44" s="6" t="n"/>
      <c r="L44" s="6" t="n">
        <v>2</v>
      </c>
      <c r="M44" s="6" t="n">
        <v>2</v>
      </c>
      <c r="N44" s="6" t="n">
        <v>3</v>
      </c>
      <c r="O44" s="6" t="n">
        <v>3</v>
      </c>
      <c r="P44" s="6" t="n">
        <v>3</v>
      </c>
      <c r="Q44" s="6" t="n">
        <v>3</v>
      </c>
      <c r="R44" s="6" t="n">
        <v>3</v>
      </c>
      <c r="S44" s="6" t="n">
        <v>2</v>
      </c>
      <c r="T44" s="6" t="n">
        <v>4</v>
      </c>
      <c r="U44" s="6" t="n">
        <v>3</v>
      </c>
      <c r="V44" s="6" t="n">
        <v>3</v>
      </c>
      <c r="W44" s="6" t="n">
        <v>3</v>
      </c>
      <c r="X44" s="6" t="n">
        <v>3</v>
      </c>
      <c r="Y44" s="6" t="n">
        <v>4</v>
      </c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26" t="n">
        <v>3</v>
      </c>
      <c r="AM44" s="26" t="n">
        <v>3</v>
      </c>
      <c r="AN44" s="26" t="n">
        <v>3</v>
      </c>
      <c r="AO44" s="26" t="n">
        <v>3</v>
      </c>
      <c r="AP44" s="26" t="n">
        <v>2.5</v>
      </c>
      <c r="AQ44" s="26" t="n">
        <v>3.5</v>
      </c>
      <c r="AR44" s="26" t="n">
        <v>3.25</v>
      </c>
      <c r="AS44" s="26" t="n"/>
      <c r="AT44" s="26" t="n"/>
      <c r="AU44" s="26" t="n"/>
      <c r="AV44" s="26" t="n"/>
      <c r="AW44" s="26" t="n"/>
      <c r="AX44" s="26" t="n"/>
      <c r="AY44" s="6" t="n"/>
      <c r="AZ44" s="6" t="n">
        <v>1</v>
      </c>
      <c r="BA44" s="6" t="n"/>
    </row>
    <row r="45">
      <c r="A45" s="6" t="inlineStr">
        <is>
          <t>R044</t>
        </is>
      </c>
      <c r="B45" s="6" t="n">
        <v>0</v>
      </c>
      <c r="C45" s="6" t="n">
        <v>2</v>
      </c>
      <c r="D45" s="6" t="n">
        <v>2</v>
      </c>
      <c r="E45" s="6" t="n">
        <v>34</v>
      </c>
      <c r="F45" s="6" t="n">
        <v>8</v>
      </c>
      <c r="G45" s="6" t="n">
        <v>1</v>
      </c>
      <c r="H45" s="6" t="n"/>
      <c r="I45" s="6" t="n">
        <v>2</v>
      </c>
      <c r="J45" s="6" t="n">
        <v>2</v>
      </c>
      <c r="K45" s="6" t="n"/>
      <c r="L45" s="6" t="n">
        <v>4</v>
      </c>
      <c r="M45" s="6" t="n">
        <v>4</v>
      </c>
      <c r="N45" s="6" t="n">
        <v>3</v>
      </c>
      <c r="O45" s="6" t="n">
        <v>3</v>
      </c>
      <c r="P45" s="6" t="n">
        <v>3</v>
      </c>
      <c r="Q45" s="6" t="n">
        <v>3</v>
      </c>
      <c r="R45" s="6" t="n">
        <v>3</v>
      </c>
      <c r="S45" s="6" t="n">
        <v>2</v>
      </c>
      <c r="T45" s="6" t="n">
        <v>3</v>
      </c>
      <c r="U45" s="6" t="n">
        <v>3</v>
      </c>
      <c r="V45" s="6" t="n">
        <v>5</v>
      </c>
      <c r="W45" s="6" t="n">
        <v>5</v>
      </c>
      <c r="X45" s="6" t="n">
        <v>5</v>
      </c>
      <c r="Y45" s="6" t="n">
        <v>5</v>
      </c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26" t="n">
        <v>2.875</v>
      </c>
      <c r="AM45" s="26" t="n">
        <v>3</v>
      </c>
      <c r="AN45" s="26" t="n">
        <v>3</v>
      </c>
      <c r="AO45" s="26" t="n">
        <v>3</v>
      </c>
      <c r="AP45" s="26" t="n">
        <v>2.5</v>
      </c>
      <c r="AQ45" s="26" t="n">
        <v>3</v>
      </c>
      <c r="AR45" s="26" t="n">
        <v>5</v>
      </c>
      <c r="AS45" s="26" t="n"/>
      <c r="AT45" s="26" t="n"/>
      <c r="AU45" s="26" t="n"/>
      <c r="AV45" s="26" t="n"/>
      <c r="AW45" s="26" t="n"/>
      <c r="AX45" s="26" t="n"/>
      <c r="AY45" s="6" t="n"/>
      <c r="AZ45" s="6" t="n">
        <v>1</v>
      </c>
      <c r="BA45" s="6" t="n"/>
    </row>
    <row r="46">
      <c r="A46" s="6" t="inlineStr">
        <is>
          <t>R045</t>
        </is>
      </c>
      <c r="B46" s="6" t="n">
        <v>1</v>
      </c>
      <c r="C46" s="6" t="n">
        <v>1</v>
      </c>
      <c r="D46" s="6" t="n">
        <v>1</v>
      </c>
      <c r="E46" s="6" t="n">
        <v>33</v>
      </c>
      <c r="F46" s="6" t="n">
        <v>8</v>
      </c>
      <c r="G46" s="6" t="n">
        <v>2</v>
      </c>
      <c r="H46" s="6" t="n"/>
      <c r="I46" s="6" t="n">
        <v>3</v>
      </c>
      <c r="J46" s="6" t="n">
        <v>2</v>
      </c>
      <c r="K46" s="6" t="n"/>
      <c r="L46" s="6" t="n">
        <v>1</v>
      </c>
      <c r="M46" s="6" t="n">
        <v>1</v>
      </c>
      <c r="N46" s="6" t="n">
        <v>4</v>
      </c>
      <c r="O46" s="6" t="n">
        <v>4</v>
      </c>
      <c r="P46" s="6" t="n">
        <v>4</v>
      </c>
      <c r="Q46" s="6" t="n">
        <v>4</v>
      </c>
      <c r="R46" s="6" t="n">
        <v>5</v>
      </c>
      <c r="S46" s="6" t="n">
        <v>4</v>
      </c>
      <c r="T46" s="6" t="n">
        <v>5</v>
      </c>
      <c r="U46" s="6" t="n">
        <v>4</v>
      </c>
      <c r="V46" s="6" t="n">
        <v>4</v>
      </c>
      <c r="W46" s="6" t="n">
        <v>3</v>
      </c>
      <c r="X46" s="6" t="n">
        <v>5</v>
      </c>
      <c r="Y46" s="6" t="n">
        <v>3</v>
      </c>
      <c r="Z46" s="6" t="n">
        <v>4</v>
      </c>
      <c r="AA46" s="6" t="n">
        <v>4</v>
      </c>
      <c r="AB46" s="6" t="n">
        <v>3</v>
      </c>
      <c r="AC46" s="6" t="n">
        <v>2</v>
      </c>
      <c r="AD46" s="6" t="n">
        <v>3</v>
      </c>
      <c r="AE46" s="6" t="n">
        <v>1</v>
      </c>
      <c r="AF46" s="6" t="n">
        <v>4</v>
      </c>
      <c r="AG46" s="6" t="n">
        <v>3</v>
      </c>
      <c r="AH46" s="6" t="n">
        <v>1</v>
      </c>
      <c r="AI46" s="6" t="n">
        <v>1</v>
      </c>
      <c r="AJ46" s="6" t="n">
        <v>4</v>
      </c>
      <c r="AK46" s="6" t="n">
        <v>1</v>
      </c>
      <c r="AL46" s="26" t="n">
        <v>4.25</v>
      </c>
      <c r="AM46" s="26" t="n">
        <v>4</v>
      </c>
      <c r="AN46" s="26" t="n">
        <v>4</v>
      </c>
      <c r="AO46" s="26" t="n">
        <v>4</v>
      </c>
      <c r="AP46" s="26" t="n">
        <v>4.5</v>
      </c>
      <c r="AQ46" s="26" t="n">
        <v>4.5</v>
      </c>
      <c r="AR46" s="26" t="n">
        <v>3.75</v>
      </c>
      <c r="AS46" s="26" t="n">
        <v>4</v>
      </c>
      <c r="AT46" s="26" t="n">
        <v>2.5</v>
      </c>
      <c r="AU46" s="26" t="n">
        <v>2</v>
      </c>
      <c r="AV46" s="26" t="n">
        <v>3.5</v>
      </c>
      <c r="AW46" s="26" t="n">
        <v>3</v>
      </c>
      <c r="AX46" s="26" t="n">
        <v>1.75</v>
      </c>
      <c r="AY46" s="6" t="n">
        <v>0</v>
      </c>
      <c r="AZ46" s="6" t="n">
        <v>1</v>
      </c>
      <c r="BA46" s="6" t="n"/>
    </row>
    <row r="47">
      <c r="A47" s="6" t="inlineStr">
        <is>
          <t>R046</t>
        </is>
      </c>
      <c r="B47" s="6" t="n">
        <v>0</v>
      </c>
      <c r="C47" s="6" t="n">
        <v>1</v>
      </c>
      <c r="D47" s="6" t="n">
        <v>1</v>
      </c>
      <c r="E47" s="6" t="n">
        <v>45</v>
      </c>
      <c r="F47" s="6" t="n">
        <v>19</v>
      </c>
      <c r="G47" s="6" t="n">
        <v>1</v>
      </c>
      <c r="H47" s="6" t="n"/>
      <c r="I47" s="6" t="n">
        <v>4</v>
      </c>
      <c r="J47" s="6" t="n">
        <v>2</v>
      </c>
      <c r="K47" s="6" t="n"/>
      <c r="L47" s="6" t="n">
        <v>2</v>
      </c>
      <c r="M47" s="6" t="n">
        <v>1</v>
      </c>
      <c r="N47" s="6" t="n">
        <v>4</v>
      </c>
      <c r="O47" s="6" t="n">
        <v>4</v>
      </c>
      <c r="P47" s="6" t="n">
        <v>5</v>
      </c>
      <c r="Q47" s="6" t="n">
        <v>3</v>
      </c>
      <c r="R47" s="6" t="n">
        <v>2</v>
      </c>
      <c r="S47" s="6" t="n">
        <v>2</v>
      </c>
      <c r="T47" s="6" t="n">
        <v>4</v>
      </c>
      <c r="U47" s="6" t="n">
        <v>3</v>
      </c>
      <c r="V47" s="6" t="n">
        <v>4</v>
      </c>
      <c r="W47" s="6" t="n">
        <v>4</v>
      </c>
      <c r="X47" s="6" t="n">
        <v>4</v>
      </c>
      <c r="Y47" s="6" t="n">
        <v>3</v>
      </c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26" t="n">
        <v>3.375</v>
      </c>
      <c r="AM47" s="26" t="n">
        <v>4</v>
      </c>
      <c r="AN47" s="26" t="n">
        <v>4</v>
      </c>
      <c r="AO47" s="26" t="n">
        <v>4</v>
      </c>
      <c r="AP47" s="26" t="n">
        <v>2</v>
      </c>
      <c r="AQ47" s="26" t="n">
        <v>3.5</v>
      </c>
      <c r="AR47" s="26" t="n">
        <v>3.75</v>
      </c>
      <c r="AS47" s="26" t="n"/>
      <c r="AT47" s="26" t="n"/>
      <c r="AU47" s="26" t="n"/>
      <c r="AV47" s="26" t="n"/>
      <c r="AW47" s="26" t="n"/>
      <c r="AX47" s="26" t="n"/>
      <c r="AY47" s="6" t="n"/>
      <c r="AZ47" s="6" t="n">
        <v>1</v>
      </c>
      <c r="BA47" s="6" t="n"/>
    </row>
    <row r="48">
      <c r="A48" s="6" t="inlineStr">
        <is>
          <t>R047</t>
        </is>
      </c>
      <c r="B48" s="6" t="n">
        <v>0</v>
      </c>
      <c r="C48" s="6" t="n">
        <v>1</v>
      </c>
      <c r="D48" s="6" t="n">
        <v>1</v>
      </c>
      <c r="E48" s="6" t="n">
        <v>30</v>
      </c>
      <c r="F48" s="6" t="n">
        <v>5</v>
      </c>
      <c r="G48" s="6" t="n">
        <v>2</v>
      </c>
      <c r="H48" s="6" t="n"/>
      <c r="I48" s="6" t="n">
        <v>4</v>
      </c>
      <c r="J48" s="6" t="n">
        <v>3</v>
      </c>
      <c r="K48" s="6" t="n"/>
      <c r="L48" s="6" t="n">
        <v>2</v>
      </c>
      <c r="M48" s="6" t="n">
        <v>1</v>
      </c>
      <c r="N48" s="6" t="n">
        <v>4</v>
      </c>
      <c r="O48" s="6" t="n">
        <v>4</v>
      </c>
      <c r="P48" s="6" t="n">
        <v>4</v>
      </c>
      <c r="Q48" s="6" t="n">
        <v>4</v>
      </c>
      <c r="R48" s="6" t="n">
        <v>4</v>
      </c>
      <c r="S48" s="6" t="n">
        <v>4</v>
      </c>
      <c r="T48" s="6" t="n">
        <v>4</v>
      </c>
      <c r="U48" s="6" t="n">
        <v>4</v>
      </c>
      <c r="V48" s="6" t="n">
        <v>3</v>
      </c>
      <c r="W48" s="6" t="n">
        <v>3</v>
      </c>
      <c r="X48" s="6" t="n">
        <v>3</v>
      </c>
      <c r="Y48" s="6" t="n">
        <v>3</v>
      </c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26" t="n">
        <v>4</v>
      </c>
      <c r="AM48" s="26" t="n">
        <v>4</v>
      </c>
      <c r="AN48" s="26" t="n">
        <v>4</v>
      </c>
      <c r="AO48" s="26" t="n">
        <v>4</v>
      </c>
      <c r="AP48" s="26" t="n">
        <v>4</v>
      </c>
      <c r="AQ48" s="26" t="n">
        <v>4</v>
      </c>
      <c r="AR48" s="26" t="n">
        <v>3</v>
      </c>
      <c r="AS48" s="26" t="n"/>
      <c r="AT48" s="26" t="n"/>
      <c r="AU48" s="26" t="n"/>
      <c r="AV48" s="26" t="n"/>
      <c r="AW48" s="26" t="n"/>
      <c r="AX48" s="26" t="n"/>
      <c r="AY48" s="6" t="n"/>
      <c r="AZ48" s="6" t="n">
        <v>1</v>
      </c>
      <c r="BA48" s="6" t="n"/>
    </row>
    <row r="49">
      <c r="A49" s="6" t="inlineStr">
        <is>
          <t>R048</t>
        </is>
      </c>
      <c r="B49" s="6" t="n">
        <v>0</v>
      </c>
      <c r="C49" s="6" t="n">
        <v>1</v>
      </c>
      <c r="D49" s="6" t="n">
        <v>1</v>
      </c>
      <c r="E49" s="6" t="n">
        <v>55</v>
      </c>
      <c r="F49" s="6" t="n">
        <v>15</v>
      </c>
      <c r="G49" s="6" t="n">
        <v>2</v>
      </c>
      <c r="H49" s="6" t="n"/>
      <c r="I49" s="6" t="n">
        <v>3</v>
      </c>
      <c r="J49" s="6" t="n">
        <v>5</v>
      </c>
      <c r="K49" s="6" t="inlineStr">
        <is>
          <t>상주 근무자의 비상연락망 가동</t>
        </is>
      </c>
      <c r="L49" s="6" t="n">
        <v>2</v>
      </c>
      <c r="M49" s="6" t="n">
        <v>3</v>
      </c>
      <c r="N49" s="6" t="n">
        <v>4</v>
      </c>
      <c r="O49" s="6" t="n">
        <v>4</v>
      </c>
      <c r="P49" s="6" t="n">
        <v>4</v>
      </c>
      <c r="Q49" s="6" t="n">
        <v>4</v>
      </c>
      <c r="R49" s="6" t="n">
        <v>4</v>
      </c>
      <c r="S49" s="6" t="n">
        <v>2</v>
      </c>
      <c r="T49" s="6" t="n">
        <v>4</v>
      </c>
      <c r="U49" s="6" t="n">
        <v>4</v>
      </c>
      <c r="V49" s="6" t="n">
        <v>4</v>
      </c>
      <c r="W49" s="6" t="n">
        <v>5</v>
      </c>
      <c r="X49" s="6" t="n">
        <v>5</v>
      </c>
      <c r="Y49" s="6" t="n">
        <v>5</v>
      </c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26" t="n">
        <v>3.75</v>
      </c>
      <c r="AM49" s="26" t="n">
        <v>4</v>
      </c>
      <c r="AN49" s="26" t="n">
        <v>4</v>
      </c>
      <c r="AO49" s="26" t="n">
        <v>4</v>
      </c>
      <c r="AP49" s="26" t="n">
        <v>3</v>
      </c>
      <c r="AQ49" s="26" t="n">
        <v>4</v>
      </c>
      <c r="AR49" s="26" t="n">
        <v>4.75</v>
      </c>
      <c r="AS49" s="26" t="n"/>
      <c r="AT49" s="26" t="n"/>
      <c r="AU49" s="26" t="n"/>
      <c r="AV49" s="26" t="n"/>
      <c r="AW49" s="26" t="n"/>
      <c r="AX49" s="26" t="n"/>
      <c r="AY49" s="6" t="n"/>
      <c r="AZ49" s="6" t="n">
        <v>1</v>
      </c>
      <c r="BA49" s="6" t="n"/>
    </row>
    <row r="50">
      <c r="A50" s="6" t="inlineStr">
        <is>
          <t>R049</t>
        </is>
      </c>
      <c r="B50" s="6" t="n">
        <v>1</v>
      </c>
      <c r="C50" s="6" t="n">
        <v>1</v>
      </c>
      <c r="D50" s="6" t="n">
        <v>1</v>
      </c>
      <c r="E50" s="6" t="n">
        <v>63</v>
      </c>
      <c r="F50" s="6" t="n">
        <v>37</v>
      </c>
      <c r="G50" s="6" t="n">
        <v>3</v>
      </c>
      <c r="H50" s="6" t="n"/>
      <c r="I50" s="6" t="n">
        <v>2</v>
      </c>
      <c r="J50" s="6" t="n">
        <v>4</v>
      </c>
      <c r="K50" s="6" t="n"/>
      <c r="L50" s="6" t="n">
        <v>1</v>
      </c>
      <c r="M50" s="6" t="n">
        <v>3</v>
      </c>
      <c r="N50" s="6" t="n">
        <v>4</v>
      </c>
      <c r="O50" s="6" t="n">
        <v>4</v>
      </c>
      <c r="P50" s="6" t="n">
        <v>4</v>
      </c>
      <c r="Q50" s="6" t="n">
        <v>4</v>
      </c>
      <c r="R50" s="6" t="n">
        <v>3</v>
      </c>
      <c r="S50" s="6" t="n">
        <v>4</v>
      </c>
      <c r="T50" s="6" t="n">
        <v>4</v>
      </c>
      <c r="U50" s="6" t="n">
        <v>4</v>
      </c>
      <c r="V50" s="6" t="n">
        <v>5</v>
      </c>
      <c r="W50" s="6" t="n">
        <v>4</v>
      </c>
      <c r="X50" s="6" t="n">
        <v>5</v>
      </c>
      <c r="Y50" s="6" t="n">
        <v>4</v>
      </c>
      <c r="Z50" s="6" t="n">
        <v>4</v>
      </c>
      <c r="AA50" s="6" t="n">
        <v>4</v>
      </c>
      <c r="AB50" s="6" t="n">
        <v>4</v>
      </c>
      <c r="AC50" s="6" t="n">
        <v>4</v>
      </c>
      <c r="AD50" s="6" t="n">
        <v>4</v>
      </c>
      <c r="AE50" s="6" t="n">
        <v>4</v>
      </c>
      <c r="AF50" s="6" t="n">
        <v>4</v>
      </c>
      <c r="AG50" s="6" t="n">
        <v>4</v>
      </c>
      <c r="AH50" s="6" t="n">
        <v>4</v>
      </c>
      <c r="AI50" s="6" t="n">
        <v>4</v>
      </c>
      <c r="AJ50" s="6" t="n">
        <v>4</v>
      </c>
      <c r="AK50" s="6" t="n">
        <v>4</v>
      </c>
      <c r="AL50" s="26" t="n">
        <v>3.875</v>
      </c>
      <c r="AM50" s="26" t="n">
        <v>4</v>
      </c>
      <c r="AN50" s="26" t="n">
        <v>4</v>
      </c>
      <c r="AO50" s="26" t="n">
        <v>4</v>
      </c>
      <c r="AP50" s="26" t="n">
        <v>3.5</v>
      </c>
      <c r="AQ50" s="26" t="n">
        <v>4</v>
      </c>
      <c r="AR50" s="26" t="n">
        <v>4.5</v>
      </c>
      <c r="AS50" s="26" t="n">
        <v>4</v>
      </c>
      <c r="AT50" s="26" t="n">
        <v>4</v>
      </c>
      <c r="AU50" s="26" t="n">
        <v>4</v>
      </c>
      <c r="AV50" s="26" t="n">
        <v>4</v>
      </c>
      <c r="AW50" s="26" t="n">
        <v>4</v>
      </c>
      <c r="AX50" s="26" t="n">
        <v>4</v>
      </c>
      <c r="AY50" s="6" t="n">
        <v>0</v>
      </c>
      <c r="AZ50" s="6" t="n">
        <v>1</v>
      </c>
      <c r="BA50" s="6" t="n"/>
    </row>
    <row r="51">
      <c r="A51" s="6" t="inlineStr">
        <is>
          <t>R050</t>
        </is>
      </c>
      <c r="B51" s="6" t="n">
        <v>0</v>
      </c>
      <c r="C51" s="6" t="n">
        <v>1</v>
      </c>
      <c r="D51" s="6" t="n">
        <v>1</v>
      </c>
      <c r="E51" s="6" t="n">
        <v>37</v>
      </c>
      <c r="F51" s="6" t="n">
        <v>13</v>
      </c>
      <c r="G51" s="6" t="n">
        <v>3</v>
      </c>
      <c r="H51" s="6" t="n"/>
      <c r="I51" s="6" t="n">
        <v>2</v>
      </c>
      <c r="J51" s="6" t="n">
        <v>3</v>
      </c>
      <c r="K51" s="6" t="n"/>
      <c r="L51" s="6" t="n">
        <v>1</v>
      </c>
      <c r="M51" s="6" t="n">
        <v>2</v>
      </c>
      <c r="N51" s="6" t="n">
        <v>4</v>
      </c>
      <c r="O51" s="6" t="n">
        <v>4</v>
      </c>
      <c r="P51" s="6" t="n">
        <v>4</v>
      </c>
      <c r="Q51" s="6" t="n">
        <v>4</v>
      </c>
      <c r="R51" s="6" t="n">
        <v>4</v>
      </c>
      <c r="S51" s="6" t="n">
        <v>4</v>
      </c>
      <c r="T51" s="6" t="n">
        <v>4</v>
      </c>
      <c r="U51" s="6" t="n">
        <v>4</v>
      </c>
      <c r="V51" s="6" t="n">
        <v>4</v>
      </c>
      <c r="W51" s="6" t="n">
        <v>4</v>
      </c>
      <c r="X51" s="6" t="n">
        <v>4</v>
      </c>
      <c r="Y51" s="6" t="n">
        <v>4</v>
      </c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26" t="n">
        <v>4</v>
      </c>
      <c r="AM51" s="26" t="n">
        <v>4</v>
      </c>
      <c r="AN51" s="26" t="n">
        <v>4</v>
      </c>
      <c r="AO51" s="26" t="n">
        <v>4</v>
      </c>
      <c r="AP51" s="26" t="n">
        <v>4</v>
      </c>
      <c r="AQ51" s="26" t="n">
        <v>4</v>
      </c>
      <c r="AR51" s="26" t="n">
        <v>4</v>
      </c>
      <c r="AS51" s="26" t="n"/>
      <c r="AT51" s="26" t="n"/>
      <c r="AU51" s="26" t="n"/>
      <c r="AV51" s="26" t="n"/>
      <c r="AW51" s="26" t="n"/>
      <c r="AX51" s="26" t="n"/>
      <c r="AY51" s="6" t="n"/>
      <c r="AZ51" s="6" t="n">
        <v>1</v>
      </c>
      <c r="BA51" s="6" t="n"/>
    </row>
    <row r="52">
      <c r="A52" s="6" t="inlineStr">
        <is>
          <t>R051</t>
        </is>
      </c>
      <c r="B52" s="6" t="n">
        <v>0</v>
      </c>
      <c r="C52" s="6" t="n">
        <v>1</v>
      </c>
      <c r="D52" s="6" t="n">
        <v>2</v>
      </c>
      <c r="E52" s="6" t="n">
        <v>28</v>
      </c>
      <c r="F52" s="6" t="n">
        <v>4</v>
      </c>
      <c r="G52" s="6" t="n">
        <v>2</v>
      </c>
      <c r="H52" s="6" t="n"/>
      <c r="I52" s="6" t="n">
        <v>4</v>
      </c>
      <c r="J52" s="6" t="n">
        <v>2</v>
      </c>
      <c r="K52" s="6" t="n"/>
      <c r="L52" s="6" t="n">
        <v>2</v>
      </c>
      <c r="M52" s="6" t="n">
        <v>2</v>
      </c>
      <c r="N52" s="6" t="n">
        <v>3</v>
      </c>
      <c r="O52" s="6" t="n">
        <v>2</v>
      </c>
      <c r="P52" s="6" t="n">
        <v>3</v>
      </c>
      <c r="Q52" s="6" t="n">
        <v>3</v>
      </c>
      <c r="R52" s="6" t="n">
        <v>4</v>
      </c>
      <c r="S52" s="6" t="n">
        <v>2</v>
      </c>
      <c r="T52" s="6" t="n">
        <v>3</v>
      </c>
      <c r="U52" s="6" t="n">
        <v>3</v>
      </c>
      <c r="V52" s="6" t="n">
        <v>2</v>
      </c>
      <c r="W52" s="6" t="n">
        <v>2</v>
      </c>
      <c r="X52" s="6" t="n">
        <v>2</v>
      </c>
      <c r="Y52" s="6" t="n">
        <v>2</v>
      </c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26" t="n">
        <v>2.875</v>
      </c>
      <c r="AM52" s="26" t="n">
        <v>3</v>
      </c>
      <c r="AN52" s="26" t="n">
        <v>2</v>
      </c>
      <c r="AO52" s="26" t="n">
        <v>3</v>
      </c>
      <c r="AP52" s="26" t="n">
        <v>3</v>
      </c>
      <c r="AQ52" s="26" t="n">
        <v>3</v>
      </c>
      <c r="AR52" s="26" t="n">
        <v>2</v>
      </c>
      <c r="AS52" s="26" t="n"/>
      <c r="AT52" s="26" t="n"/>
      <c r="AU52" s="26" t="n"/>
      <c r="AV52" s="26" t="n"/>
      <c r="AW52" s="26" t="n"/>
      <c r="AX52" s="26" t="n"/>
      <c r="AY52" s="6" t="n"/>
      <c r="AZ52" s="6" t="n">
        <v>1</v>
      </c>
      <c r="BA52" s="6" t="n"/>
    </row>
    <row r="53">
      <c r="A53" s="6" t="inlineStr">
        <is>
          <t>R052</t>
        </is>
      </c>
      <c r="B53" s="6" t="n">
        <v>0</v>
      </c>
      <c r="C53" s="6" t="n">
        <v>2</v>
      </c>
      <c r="D53" s="6" t="n">
        <v>1</v>
      </c>
      <c r="E53" s="6" t="n">
        <v>33</v>
      </c>
      <c r="F53" s="6" t="n">
        <v>7</v>
      </c>
      <c r="G53" s="6" t="n">
        <v>1</v>
      </c>
      <c r="H53" s="6" t="n"/>
      <c r="I53" s="6" t="n">
        <v>2</v>
      </c>
      <c r="J53" s="6" t="n">
        <v>2</v>
      </c>
      <c r="K53" s="6" t="n"/>
      <c r="L53" s="6" t="n">
        <v>1</v>
      </c>
      <c r="M53" s="6" t="n">
        <v>3</v>
      </c>
      <c r="N53" s="6" t="n">
        <v>4</v>
      </c>
      <c r="O53" s="6" t="n">
        <v>5</v>
      </c>
      <c r="P53" s="6" t="n">
        <v>4</v>
      </c>
      <c r="Q53" s="6" t="n">
        <v>4</v>
      </c>
      <c r="R53" s="6" t="n">
        <v>3</v>
      </c>
      <c r="S53" s="6" t="n">
        <v>4</v>
      </c>
      <c r="T53" s="6" t="n">
        <v>5</v>
      </c>
      <c r="U53" s="6" t="n">
        <v>4</v>
      </c>
      <c r="V53" s="6" t="n">
        <v>5</v>
      </c>
      <c r="W53" s="6" t="n">
        <v>5</v>
      </c>
      <c r="X53" s="6" t="n">
        <v>5</v>
      </c>
      <c r="Y53" s="6" t="n">
        <v>4</v>
      </c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26" t="n">
        <v>4.125</v>
      </c>
      <c r="AM53" s="26" t="n">
        <v>4</v>
      </c>
      <c r="AN53" s="26" t="n">
        <v>5</v>
      </c>
      <c r="AO53" s="26" t="n">
        <v>4</v>
      </c>
      <c r="AP53" s="26" t="n">
        <v>3.5</v>
      </c>
      <c r="AQ53" s="26" t="n">
        <v>4.5</v>
      </c>
      <c r="AR53" s="26" t="n">
        <v>4.75</v>
      </c>
      <c r="AS53" s="26" t="n"/>
      <c r="AT53" s="26" t="n"/>
      <c r="AU53" s="26" t="n"/>
      <c r="AV53" s="26" t="n"/>
      <c r="AW53" s="26" t="n"/>
      <c r="AX53" s="26" t="n"/>
      <c r="AY53" s="6" t="n"/>
      <c r="AZ53" s="6" t="n">
        <v>1</v>
      </c>
      <c r="BA53" s="6" t="n"/>
    </row>
    <row r="54">
      <c r="A54" s="6" t="inlineStr">
        <is>
          <t>R053</t>
        </is>
      </c>
      <c r="B54" s="6" t="n">
        <v>1</v>
      </c>
      <c r="C54" s="6" t="n">
        <v>2</v>
      </c>
      <c r="D54" s="6" t="n">
        <v>1</v>
      </c>
      <c r="E54" s="6" t="n">
        <v>45</v>
      </c>
      <c r="F54" s="6" t="n">
        <v>10</v>
      </c>
      <c r="G54" s="6" t="n">
        <v>1</v>
      </c>
      <c r="H54" s="6" t="n"/>
      <c r="I54" s="6" t="n">
        <v>2</v>
      </c>
      <c r="J54" s="6" t="n">
        <v>3</v>
      </c>
      <c r="K54" s="6" t="n"/>
      <c r="L54" s="6" t="n">
        <v>1</v>
      </c>
      <c r="M54" s="6" t="n">
        <v>2</v>
      </c>
      <c r="N54" s="6" t="n">
        <v>5</v>
      </c>
      <c r="O54" s="6" t="n">
        <v>5</v>
      </c>
      <c r="P54" s="6" t="n">
        <v>5</v>
      </c>
      <c r="Q54" s="6" t="n">
        <v>5</v>
      </c>
      <c r="R54" s="6" t="n">
        <v>5</v>
      </c>
      <c r="S54" s="6" t="n">
        <v>4</v>
      </c>
      <c r="T54" s="6" t="n">
        <v>5</v>
      </c>
      <c r="U54" s="6" t="n">
        <v>5</v>
      </c>
      <c r="V54" s="6" t="n">
        <v>1</v>
      </c>
      <c r="W54" s="6" t="n">
        <v>1</v>
      </c>
      <c r="X54" s="6" t="n">
        <v>5</v>
      </c>
      <c r="Y54" s="6" t="n">
        <v>1</v>
      </c>
      <c r="Z54" s="6" t="n">
        <v>5</v>
      </c>
      <c r="AA54" s="6" t="n">
        <v>5</v>
      </c>
      <c r="AB54" s="6" t="n">
        <v>5</v>
      </c>
      <c r="AC54" s="6" t="n">
        <v>5</v>
      </c>
      <c r="AD54" s="6" t="n">
        <v>5</v>
      </c>
      <c r="AE54" s="6" t="n">
        <v>3</v>
      </c>
      <c r="AF54" s="6" t="n">
        <v>5</v>
      </c>
      <c r="AG54" s="6" t="n">
        <v>5</v>
      </c>
      <c r="AH54" s="6" t="n">
        <v>5</v>
      </c>
      <c r="AI54" s="6" t="n">
        <v>5</v>
      </c>
      <c r="AJ54" s="6" t="n">
        <v>5</v>
      </c>
      <c r="AK54" s="6" t="n">
        <v>5</v>
      </c>
      <c r="AL54" s="26" t="n">
        <v>4.875</v>
      </c>
      <c r="AM54" s="26" t="n">
        <v>5</v>
      </c>
      <c r="AN54" s="26" t="n">
        <v>5</v>
      </c>
      <c r="AO54" s="26" t="n">
        <v>5</v>
      </c>
      <c r="AP54" s="26" t="n">
        <v>4.5</v>
      </c>
      <c r="AQ54" s="26" t="n">
        <v>5</v>
      </c>
      <c r="AR54" s="26" t="n">
        <v>2</v>
      </c>
      <c r="AS54" s="26" t="n">
        <v>5</v>
      </c>
      <c r="AT54" s="26" t="n">
        <v>5</v>
      </c>
      <c r="AU54" s="26" t="n">
        <v>4</v>
      </c>
      <c r="AV54" s="26" t="n">
        <v>5</v>
      </c>
      <c r="AW54" s="26" t="n">
        <v>4.75</v>
      </c>
      <c r="AX54" s="26" t="n">
        <v>5</v>
      </c>
      <c r="AY54" s="6" t="n">
        <v>0</v>
      </c>
      <c r="AZ54" s="6" t="n">
        <v>1</v>
      </c>
      <c r="BA54" s="6" t="n"/>
    </row>
    <row r="55">
      <c r="A55" s="6" t="inlineStr">
        <is>
          <t>R054</t>
        </is>
      </c>
      <c r="B55" s="6" t="n">
        <v>1</v>
      </c>
      <c r="C55" s="6" t="n">
        <v>1</v>
      </c>
      <c r="D55" s="6" t="n">
        <v>1</v>
      </c>
      <c r="E55" s="6" t="n">
        <v>40</v>
      </c>
      <c r="F55" s="6" t="n">
        <v>10</v>
      </c>
      <c r="G55" s="6" t="n">
        <v>3</v>
      </c>
      <c r="H55" s="6" t="n"/>
      <c r="I55" s="6" t="n">
        <v>1</v>
      </c>
      <c r="J55" s="6" t="n">
        <v>2</v>
      </c>
      <c r="K55" s="6" t="n"/>
      <c r="L55" s="6" t="n">
        <v>1</v>
      </c>
      <c r="M55" s="6" t="n">
        <v>2</v>
      </c>
      <c r="N55" s="6" t="n">
        <v>4</v>
      </c>
      <c r="O55" s="6" t="n">
        <v>4</v>
      </c>
      <c r="P55" s="6" t="n">
        <v>3</v>
      </c>
      <c r="Q55" s="6" t="n">
        <v>4</v>
      </c>
      <c r="R55" s="6" t="n">
        <v>3</v>
      </c>
      <c r="S55" s="6" t="n">
        <v>2</v>
      </c>
      <c r="T55" s="6" t="n">
        <v>4</v>
      </c>
      <c r="U55" s="6" t="n">
        <v>3</v>
      </c>
      <c r="V55" s="6" t="n">
        <v>4</v>
      </c>
      <c r="W55" s="6" t="n">
        <v>5</v>
      </c>
      <c r="X55" s="6" t="n">
        <v>5</v>
      </c>
      <c r="Y55" s="6" t="n">
        <v>4</v>
      </c>
      <c r="Z55" s="6" t="n">
        <v>4</v>
      </c>
      <c r="AA55" s="6" t="n">
        <v>4</v>
      </c>
      <c r="AB55" s="6" t="n">
        <v>4</v>
      </c>
      <c r="AC55" s="6" t="n">
        <v>4</v>
      </c>
      <c r="AD55" s="6" t="n">
        <v>4</v>
      </c>
      <c r="AE55" s="6" t="n">
        <v>4</v>
      </c>
      <c r="AF55" s="6" t="n">
        <v>3</v>
      </c>
      <c r="AG55" s="6" t="n">
        <v>3</v>
      </c>
      <c r="AH55" s="6" t="n">
        <v>4</v>
      </c>
      <c r="AI55" s="6" t="n">
        <v>4</v>
      </c>
      <c r="AJ55" s="6" t="n">
        <v>2</v>
      </c>
      <c r="AK55" s="6" t="n">
        <v>3</v>
      </c>
      <c r="AL55" s="26" t="n">
        <v>3.375</v>
      </c>
      <c r="AM55" s="26" t="n">
        <v>4</v>
      </c>
      <c r="AN55" s="26" t="n">
        <v>4</v>
      </c>
      <c r="AO55" s="26" t="n">
        <v>3.5</v>
      </c>
      <c r="AP55" s="26" t="n">
        <v>2.5</v>
      </c>
      <c r="AQ55" s="26" t="n">
        <v>3.5</v>
      </c>
      <c r="AR55" s="26" t="n">
        <v>4.5</v>
      </c>
      <c r="AS55" s="26" t="n">
        <v>4</v>
      </c>
      <c r="AT55" s="26" t="n">
        <v>4</v>
      </c>
      <c r="AU55" s="26" t="n">
        <v>4</v>
      </c>
      <c r="AV55" s="26" t="n">
        <v>3</v>
      </c>
      <c r="AW55" s="26" t="n">
        <v>3.75</v>
      </c>
      <c r="AX55" s="26" t="n">
        <v>3.25</v>
      </c>
      <c r="AY55" s="6" t="n">
        <v>0</v>
      </c>
      <c r="AZ55" s="6" t="n">
        <v>1</v>
      </c>
      <c r="BA55" s="6" t="n"/>
    </row>
    <row r="56">
      <c r="A56" s="6" t="inlineStr">
        <is>
          <t>R055</t>
        </is>
      </c>
      <c r="B56" s="6" t="n">
        <v>1</v>
      </c>
      <c r="C56" s="6" t="n">
        <v>2</v>
      </c>
      <c r="D56" s="6" t="n">
        <v>1</v>
      </c>
      <c r="E56" s="6" t="n">
        <v>35</v>
      </c>
      <c r="F56" s="6" t="n">
        <v>10</v>
      </c>
      <c r="G56" s="6" t="n">
        <v>4</v>
      </c>
      <c r="H56" s="6" t="inlineStr">
        <is>
          <t>사업관리(안전포함)</t>
        </is>
      </c>
      <c r="I56" s="6" t="n">
        <v>4</v>
      </c>
      <c r="J56" s="6" t="n">
        <v>3</v>
      </c>
      <c r="K56" s="6" t="n"/>
      <c r="L56" s="6" t="n">
        <v>4</v>
      </c>
      <c r="M56" s="6" t="n">
        <v>3</v>
      </c>
      <c r="N56" s="6" t="n">
        <v>3</v>
      </c>
      <c r="O56" s="6" t="n">
        <v>4</v>
      </c>
      <c r="P56" s="6" t="n">
        <v>4</v>
      </c>
      <c r="Q56" s="6" t="n">
        <v>5</v>
      </c>
      <c r="R56" s="6" t="n">
        <v>4</v>
      </c>
      <c r="S56" s="6" t="n">
        <v>2</v>
      </c>
      <c r="T56" s="6" t="n">
        <v>4</v>
      </c>
      <c r="U56" s="6" t="n">
        <v>4</v>
      </c>
      <c r="V56" s="6" t="n">
        <v>4</v>
      </c>
      <c r="W56" s="6" t="n">
        <v>4</v>
      </c>
      <c r="X56" s="6" t="n">
        <v>3</v>
      </c>
      <c r="Y56" s="6" t="n">
        <v>3</v>
      </c>
      <c r="Z56" s="6" t="n">
        <v>4</v>
      </c>
      <c r="AA56" s="6" t="n">
        <v>4</v>
      </c>
      <c r="AB56" s="6" t="n">
        <v>4</v>
      </c>
      <c r="AC56" s="6" t="n">
        <v>4</v>
      </c>
      <c r="AD56" s="6" t="n">
        <v>5</v>
      </c>
      <c r="AE56" s="6" t="n">
        <v>5</v>
      </c>
      <c r="AF56" s="6" t="n">
        <v>5</v>
      </c>
      <c r="AG56" s="6" t="n">
        <v>5</v>
      </c>
      <c r="AH56" s="6" t="n">
        <v>5</v>
      </c>
      <c r="AI56" s="6" t="n">
        <v>5</v>
      </c>
      <c r="AJ56" s="6" t="n">
        <v>4</v>
      </c>
      <c r="AK56" s="6" t="n">
        <v>4</v>
      </c>
      <c r="AL56" s="26" t="n">
        <v>3.75</v>
      </c>
      <c r="AM56" s="26" t="n">
        <v>3</v>
      </c>
      <c r="AN56" s="26" t="n">
        <v>4</v>
      </c>
      <c r="AO56" s="26" t="n">
        <v>4.5</v>
      </c>
      <c r="AP56" s="26" t="n">
        <v>3</v>
      </c>
      <c r="AQ56" s="26" t="n">
        <v>4</v>
      </c>
      <c r="AR56" s="26" t="n">
        <v>3.5</v>
      </c>
      <c r="AS56" s="26" t="n">
        <v>4</v>
      </c>
      <c r="AT56" s="26" t="n">
        <v>4</v>
      </c>
      <c r="AU56" s="26" t="n">
        <v>5</v>
      </c>
      <c r="AV56" s="26" t="n">
        <v>5</v>
      </c>
      <c r="AW56" s="26" t="n">
        <v>4.5</v>
      </c>
      <c r="AX56" s="26" t="n">
        <v>4.5</v>
      </c>
      <c r="AY56" s="6" t="n">
        <v>0</v>
      </c>
      <c r="AZ56" s="6" t="n">
        <v>1</v>
      </c>
      <c r="BA56" s="6" t="n"/>
    </row>
    <row r="57">
      <c r="A57" s="6" t="inlineStr">
        <is>
          <t>R056</t>
        </is>
      </c>
      <c r="B57" s="6" t="n">
        <v>0</v>
      </c>
      <c r="C57" s="6" t="n">
        <v>2</v>
      </c>
      <c r="D57" s="6" t="n">
        <v>2</v>
      </c>
      <c r="E57" s="6" t="n">
        <v>39</v>
      </c>
      <c r="F57" s="6" t="n">
        <v>13</v>
      </c>
      <c r="G57" s="6" t="n">
        <v>1</v>
      </c>
      <c r="H57" s="6" t="n"/>
      <c r="I57" s="6" t="n">
        <v>1</v>
      </c>
      <c r="J57" s="6" t="n">
        <v>2</v>
      </c>
      <c r="K57" s="6" t="n"/>
      <c r="L57" s="6" t="n">
        <v>2</v>
      </c>
      <c r="M57" s="6" t="n">
        <v>3</v>
      </c>
      <c r="N57" s="6" t="n">
        <v>2</v>
      </c>
      <c r="O57" s="6" t="n">
        <v>2</v>
      </c>
      <c r="P57" s="6" t="n">
        <v>1</v>
      </c>
      <c r="Q57" s="6" t="n">
        <v>1</v>
      </c>
      <c r="R57" s="6" t="n">
        <v>1</v>
      </c>
      <c r="S57" s="6" t="n">
        <v>1</v>
      </c>
      <c r="T57" s="6" t="n">
        <v>2</v>
      </c>
      <c r="U57" s="6" t="n">
        <v>1</v>
      </c>
      <c r="V57" s="6" t="n">
        <v>5</v>
      </c>
      <c r="W57" s="6" t="n">
        <v>5</v>
      </c>
      <c r="X57" s="6" t="n">
        <v>5</v>
      </c>
      <c r="Y57" s="6" t="n">
        <v>5</v>
      </c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26" t="n">
        <v>1.375</v>
      </c>
      <c r="AM57" s="26" t="n">
        <v>2</v>
      </c>
      <c r="AN57" s="26" t="n">
        <v>2</v>
      </c>
      <c r="AO57" s="26" t="n">
        <v>1</v>
      </c>
      <c r="AP57" s="26" t="n">
        <v>1</v>
      </c>
      <c r="AQ57" s="26" t="n">
        <v>1.5</v>
      </c>
      <c r="AR57" s="26" t="n">
        <v>5</v>
      </c>
      <c r="AS57" s="26" t="n"/>
      <c r="AT57" s="26" t="n"/>
      <c r="AU57" s="26" t="n"/>
      <c r="AV57" s="26" t="n"/>
      <c r="AW57" s="26" t="n"/>
      <c r="AX57" s="26" t="n"/>
      <c r="AY57" s="6" t="n"/>
      <c r="AZ57" s="6" t="n">
        <v>1</v>
      </c>
      <c r="BA57" s="6" t="n"/>
    </row>
    <row r="58">
      <c r="A58" s="6" t="inlineStr">
        <is>
          <t>R057</t>
        </is>
      </c>
      <c r="B58" s="6" t="n">
        <v>0</v>
      </c>
      <c r="C58" s="6" t="n">
        <v>1</v>
      </c>
      <c r="D58" s="6" t="n">
        <v>1</v>
      </c>
      <c r="E58" s="6" t="n">
        <v>59</v>
      </c>
      <c r="F58" s="6" t="n">
        <v>12</v>
      </c>
      <c r="G58" s="6" t="n">
        <v>2</v>
      </c>
      <c r="H58" s="6" t="n"/>
      <c r="I58" s="6" t="n">
        <v>3</v>
      </c>
      <c r="J58" s="6" t="n">
        <v>2</v>
      </c>
      <c r="K58" s="6" t="n"/>
      <c r="L58" s="6" t="n">
        <v>1</v>
      </c>
      <c r="M58" s="6" t="n">
        <v>1</v>
      </c>
      <c r="N58" s="6" t="n">
        <v>3</v>
      </c>
      <c r="O58" s="6" t="n">
        <v>4</v>
      </c>
      <c r="P58" s="6" t="n">
        <v>2</v>
      </c>
      <c r="Q58" s="6" t="n">
        <v>2</v>
      </c>
      <c r="R58" s="6" t="n">
        <v>5</v>
      </c>
      <c r="S58" s="6" t="n">
        <v>4</v>
      </c>
      <c r="T58" s="6" t="n">
        <v>4</v>
      </c>
      <c r="U58" s="6" t="n">
        <v>4</v>
      </c>
      <c r="V58" s="6" t="n">
        <v>5</v>
      </c>
      <c r="W58" s="6" t="n">
        <v>5</v>
      </c>
      <c r="X58" s="6" t="n">
        <v>4</v>
      </c>
      <c r="Y58" s="6" t="n">
        <v>3</v>
      </c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26" t="n">
        <v>3.5</v>
      </c>
      <c r="AM58" s="26" t="n">
        <v>3</v>
      </c>
      <c r="AN58" s="26" t="n">
        <v>4</v>
      </c>
      <c r="AO58" s="26" t="n">
        <v>2</v>
      </c>
      <c r="AP58" s="26" t="n">
        <v>4.5</v>
      </c>
      <c r="AQ58" s="26" t="n">
        <v>4</v>
      </c>
      <c r="AR58" s="26" t="n">
        <v>4.25</v>
      </c>
      <c r="AS58" s="26" t="n"/>
      <c r="AT58" s="26" t="n"/>
      <c r="AU58" s="26" t="n"/>
      <c r="AV58" s="26" t="n"/>
      <c r="AW58" s="26" t="n"/>
      <c r="AX58" s="26" t="n"/>
      <c r="AY58" s="6" t="n"/>
      <c r="AZ58" s="6" t="n">
        <v>1</v>
      </c>
      <c r="BA58" s="6" t="n"/>
    </row>
    <row r="59">
      <c r="A59" s="6" t="inlineStr">
        <is>
          <t>R058</t>
        </is>
      </c>
      <c r="B59" s="6" t="n">
        <v>1</v>
      </c>
      <c r="C59" s="6" t="n">
        <v>2</v>
      </c>
      <c r="D59" s="6" t="n">
        <v>1</v>
      </c>
      <c r="E59" s="6" t="n">
        <v>37</v>
      </c>
      <c r="F59" s="6" t="n">
        <v>4</v>
      </c>
      <c r="G59" s="6" t="n">
        <v>1</v>
      </c>
      <c r="H59" s="6" t="n"/>
      <c r="I59" s="6" t="n">
        <v>2</v>
      </c>
      <c r="J59" s="6" t="n">
        <v>3</v>
      </c>
      <c r="K59" s="6" t="n"/>
      <c r="L59" s="6" t="n">
        <v>2</v>
      </c>
      <c r="M59" s="6" t="n">
        <v>2</v>
      </c>
      <c r="N59" s="6" t="n">
        <v>4</v>
      </c>
      <c r="O59" s="6" t="n">
        <v>4</v>
      </c>
      <c r="P59" s="6" t="n">
        <v>3</v>
      </c>
      <c r="Q59" s="6" t="n">
        <v>4</v>
      </c>
      <c r="R59" s="6" t="n">
        <v>3</v>
      </c>
      <c r="S59" s="6" t="n">
        <v>4</v>
      </c>
      <c r="T59" s="6" t="n">
        <v>4</v>
      </c>
      <c r="U59" s="6" t="n">
        <v>4</v>
      </c>
      <c r="V59" s="6" t="n">
        <v>4</v>
      </c>
      <c r="W59" s="6" t="n">
        <v>3</v>
      </c>
      <c r="X59" s="6" t="n">
        <v>3</v>
      </c>
      <c r="Y59" s="6" t="n">
        <v>3</v>
      </c>
      <c r="Z59" s="6" t="n">
        <v>3</v>
      </c>
      <c r="AA59" s="6" t="n">
        <v>4</v>
      </c>
      <c r="AB59" s="6" t="n">
        <v>3</v>
      </c>
      <c r="AC59" s="6" t="n">
        <v>3</v>
      </c>
      <c r="AD59" s="6" t="n">
        <v>3</v>
      </c>
      <c r="AE59" s="6" t="n">
        <v>3</v>
      </c>
      <c r="AF59" s="6" t="n">
        <v>3</v>
      </c>
      <c r="AG59" s="6" t="n">
        <v>3</v>
      </c>
      <c r="AH59" s="6" t="n">
        <v>4</v>
      </c>
      <c r="AI59" s="6" t="n">
        <v>3</v>
      </c>
      <c r="AJ59" s="6" t="n">
        <v>3</v>
      </c>
      <c r="AK59" s="6" t="n">
        <v>3</v>
      </c>
      <c r="AL59" s="26" t="n">
        <v>3.75</v>
      </c>
      <c r="AM59" s="26" t="n">
        <v>4</v>
      </c>
      <c r="AN59" s="26" t="n">
        <v>4</v>
      </c>
      <c r="AO59" s="26" t="n">
        <v>3.5</v>
      </c>
      <c r="AP59" s="26" t="n">
        <v>3.5</v>
      </c>
      <c r="AQ59" s="26" t="n">
        <v>4</v>
      </c>
      <c r="AR59" s="26" t="n">
        <v>3.25</v>
      </c>
      <c r="AS59" s="26" t="n">
        <v>3.5</v>
      </c>
      <c r="AT59" s="26" t="n">
        <v>3</v>
      </c>
      <c r="AU59" s="26" t="n">
        <v>3</v>
      </c>
      <c r="AV59" s="26" t="n">
        <v>3</v>
      </c>
      <c r="AW59" s="26" t="n">
        <v>3.125</v>
      </c>
      <c r="AX59" s="26" t="n">
        <v>3.25</v>
      </c>
      <c r="AY59" s="6" t="n">
        <v>0</v>
      </c>
      <c r="AZ59" s="6" t="n">
        <v>1</v>
      </c>
      <c r="BA59" s="6" t="n"/>
    </row>
    <row r="60">
      <c r="A60" s="6" t="inlineStr">
        <is>
          <t>R059</t>
        </is>
      </c>
      <c r="B60" s="6" t="n">
        <v>0</v>
      </c>
      <c r="C60" s="6" t="n">
        <v>1</v>
      </c>
      <c r="D60" s="6" t="n">
        <v>1</v>
      </c>
      <c r="E60" s="6" t="n">
        <v>63</v>
      </c>
      <c r="F60" s="6" t="n">
        <v>36</v>
      </c>
      <c r="G60" s="6" t="n">
        <v>3</v>
      </c>
      <c r="H60" s="6" t="n"/>
      <c r="I60" s="6" t="n">
        <v>3</v>
      </c>
      <c r="J60" s="6" t="n">
        <v>2</v>
      </c>
      <c r="K60" s="6" t="n"/>
      <c r="L60" s="6" t="n">
        <v>2</v>
      </c>
      <c r="M60" s="6" t="n">
        <v>2</v>
      </c>
      <c r="N60" s="6" t="n">
        <v>4</v>
      </c>
      <c r="O60" s="6" t="n">
        <v>4</v>
      </c>
      <c r="P60" s="6" t="n">
        <v>3</v>
      </c>
      <c r="Q60" s="6" t="n">
        <v>4</v>
      </c>
      <c r="R60" s="6" t="n">
        <v>3</v>
      </c>
      <c r="S60" s="6" t="n">
        <v>3</v>
      </c>
      <c r="T60" s="6" t="n">
        <v>4</v>
      </c>
      <c r="U60" s="6" t="n">
        <v>3</v>
      </c>
      <c r="V60" s="6" t="n">
        <v>3</v>
      </c>
      <c r="W60" s="6" t="n">
        <v>3</v>
      </c>
      <c r="X60" s="6" t="n">
        <v>4</v>
      </c>
      <c r="Y60" s="6" t="n">
        <v>4</v>
      </c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26" t="n">
        <v>3.5</v>
      </c>
      <c r="AM60" s="26" t="n">
        <v>4</v>
      </c>
      <c r="AN60" s="26" t="n">
        <v>4</v>
      </c>
      <c r="AO60" s="26" t="n">
        <v>3.5</v>
      </c>
      <c r="AP60" s="26" t="n">
        <v>3</v>
      </c>
      <c r="AQ60" s="26" t="n">
        <v>3.5</v>
      </c>
      <c r="AR60" s="26" t="n">
        <v>3.5</v>
      </c>
      <c r="AS60" s="26" t="n"/>
      <c r="AT60" s="26" t="n"/>
      <c r="AU60" s="26" t="n"/>
      <c r="AV60" s="26" t="n"/>
      <c r="AW60" s="26" t="n"/>
      <c r="AX60" s="26" t="n"/>
      <c r="AY60" s="6" t="n"/>
      <c r="AZ60" s="6" t="n">
        <v>1</v>
      </c>
      <c r="BA60" s="6" t="n"/>
    </row>
    <row r="61">
      <c r="A61" s="6" t="inlineStr">
        <is>
          <t>R060</t>
        </is>
      </c>
      <c r="B61" s="6" t="n">
        <v>0</v>
      </c>
      <c r="C61" s="6" t="n">
        <v>1</v>
      </c>
      <c r="D61" s="6" t="n">
        <v>2</v>
      </c>
      <c r="E61" s="6" t="n">
        <v>35</v>
      </c>
      <c r="F61" s="6" t="n">
        <v>4</v>
      </c>
      <c r="G61" s="6" t="n">
        <v>2</v>
      </c>
      <c r="H61" s="6" t="n"/>
      <c r="I61" s="6" t="n">
        <v>3</v>
      </c>
      <c r="J61" s="6" t="n">
        <v>2</v>
      </c>
      <c r="K61" s="6" t="n"/>
      <c r="L61" s="6" t="n">
        <v>2</v>
      </c>
      <c r="M61" s="6" t="n">
        <v>1</v>
      </c>
      <c r="N61" s="6" t="n">
        <v>3</v>
      </c>
      <c r="O61" s="6" t="n">
        <v>4</v>
      </c>
      <c r="P61" s="6" t="n">
        <v>3</v>
      </c>
      <c r="Q61" s="6" t="n">
        <v>4</v>
      </c>
      <c r="R61" s="6" t="n">
        <v>3</v>
      </c>
      <c r="S61" s="6" t="n">
        <v>3</v>
      </c>
      <c r="T61" s="6" t="n">
        <v>4</v>
      </c>
      <c r="U61" s="6" t="n">
        <v>4</v>
      </c>
      <c r="V61" s="6" t="n">
        <v>4</v>
      </c>
      <c r="W61" s="6" t="n">
        <v>4</v>
      </c>
      <c r="X61" s="6" t="n">
        <v>4</v>
      </c>
      <c r="Y61" s="6" t="n">
        <v>3</v>
      </c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26" t="n">
        <v>3.5</v>
      </c>
      <c r="AM61" s="26" t="n">
        <v>3</v>
      </c>
      <c r="AN61" s="26" t="n">
        <v>4</v>
      </c>
      <c r="AO61" s="26" t="n">
        <v>3.5</v>
      </c>
      <c r="AP61" s="26" t="n">
        <v>3</v>
      </c>
      <c r="AQ61" s="26" t="n">
        <v>4</v>
      </c>
      <c r="AR61" s="26" t="n">
        <v>3.75</v>
      </c>
      <c r="AS61" s="26" t="n"/>
      <c r="AT61" s="26" t="n"/>
      <c r="AU61" s="26" t="n"/>
      <c r="AV61" s="26" t="n"/>
      <c r="AW61" s="26" t="n"/>
      <c r="AX61" s="26" t="n"/>
      <c r="AY61" s="6" t="n"/>
      <c r="AZ61" s="6" t="n">
        <v>1</v>
      </c>
      <c r="BA61" s="6" t="n"/>
    </row>
    <row r="62">
      <c r="A62" s="6" t="inlineStr">
        <is>
          <t>R061</t>
        </is>
      </c>
      <c r="B62" s="6" t="n">
        <v>0</v>
      </c>
      <c r="C62" s="6" t="n">
        <v>1</v>
      </c>
      <c r="D62" s="6" t="n">
        <v>1</v>
      </c>
      <c r="E62" s="6" t="n">
        <v>32</v>
      </c>
      <c r="F62" s="6" t="n">
        <v>2</v>
      </c>
      <c r="G62" s="6" t="n">
        <v>2</v>
      </c>
      <c r="H62" s="6" t="n"/>
      <c r="I62" s="6" t="n">
        <v>4</v>
      </c>
      <c r="J62" s="6" t="n">
        <v>2</v>
      </c>
      <c r="K62" s="6" t="n"/>
      <c r="L62" s="6" t="n">
        <v>2</v>
      </c>
      <c r="M62" s="6" t="n">
        <v>1</v>
      </c>
      <c r="N62" s="6" t="n">
        <v>4</v>
      </c>
      <c r="O62" s="6" t="n">
        <v>4</v>
      </c>
      <c r="P62" s="6" t="n">
        <v>4</v>
      </c>
      <c r="Q62" s="6" t="n">
        <v>4</v>
      </c>
      <c r="R62" s="6" t="n">
        <v>4</v>
      </c>
      <c r="S62" s="6" t="n">
        <v>4</v>
      </c>
      <c r="T62" s="6" t="n">
        <v>4</v>
      </c>
      <c r="U62" s="6" t="n">
        <v>4</v>
      </c>
      <c r="V62" s="6" t="n">
        <v>3</v>
      </c>
      <c r="W62" s="6" t="n">
        <v>3</v>
      </c>
      <c r="X62" s="6" t="n">
        <v>3</v>
      </c>
      <c r="Y62" s="6" t="n">
        <v>3</v>
      </c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26" t="n">
        <v>4</v>
      </c>
      <c r="AM62" s="26" t="n">
        <v>4</v>
      </c>
      <c r="AN62" s="26" t="n">
        <v>4</v>
      </c>
      <c r="AO62" s="26" t="n">
        <v>4</v>
      </c>
      <c r="AP62" s="26" t="n">
        <v>4</v>
      </c>
      <c r="AQ62" s="26" t="n">
        <v>4</v>
      </c>
      <c r="AR62" s="26" t="n">
        <v>3</v>
      </c>
      <c r="AS62" s="26" t="n"/>
      <c r="AT62" s="26" t="n"/>
      <c r="AU62" s="26" t="n"/>
      <c r="AV62" s="26" t="n"/>
      <c r="AW62" s="26" t="n"/>
      <c r="AX62" s="26" t="n"/>
      <c r="AY62" s="6" t="n"/>
      <c r="AZ62" s="6" t="n">
        <v>1</v>
      </c>
      <c r="BA62" s="6" t="n"/>
    </row>
    <row r="63">
      <c r="A63" s="6" t="inlineStr">
        <is>
          <t>R062</t>
        </is>
      </c>
      <c r="B63" s="6" t="n">
        <v>1</v>
      </c>
      <c r="C63" s="6" t="n">
        <v>2</v>
      </c>
      <c r="D63" s="6" t="n">
        <v>1</v>
      </c>
      <c r="E63" s="6" t="n">
        <v>46</v>
      </c>
      <c r="F63" s="6" t="n">
        <v>6</v>
      </c>
      <c r="G63" s="6" t="n">
        <v>1</v>
      </c>
      <c r="H63" s="6" t="n"/>
      <c r="I63" s="6" t="n">
        <v>4</v>
      </c>
      <c r="J63" s="6" t="n">
        <v>3</v>
      </c>
      <c r="K63" s="6" t="n"/>
      <c r="L63" s="6" t="n">
        <v>4</v>
      </c>
      <c r="M63" s="6" t="n">
        <v>2</v>
      </c>
      <c r="N63" s="6" t="n">
        <v>3</v>
      </c>
      <c r="O63" s="6" t="n">
        <v>3</v>
      </c>
      <c r="P63" s="6" t="n">
        <v>4</v>
      </c>
      <c r="Q63" s="6" t="n">
        <v>2</v>
      </c>
      <c r="R63" s="6" t="n">
        <v>2</v>
      </c>
      <c r="S63" s="6" t="n">
        <v>2</v>
      </c>
      <c r="T63" s="6" t="n">
        <v>3</v>
      </c>
      <c r="U63" s="6" t="n">
        <v>3</v>
      </c>
      <c r="V63" s="6" t="n">
        <v>2</v>
      </c>
      <c r="W63" s="6" t="n">
        <v>2</v>
      </c>
      <c r="X63" s="6" t="n">
        <v>2</v>
      </c>
      <c r="Y63" s="6" t="n">
        <v>2</v>
      </c>
      <c r="Z63" s="6" t="n">
        <v>3</v>
      </c>
      <c r="AA63" s="6" t="n">
        <v>3</v>
      </c>
      <c r="AB63" s="6" t="n">
        <v>3</v>
      </c>
      <c r="AC63" s="6" t="n">
        <v>4</v>
      </c>
      <c r="AD63" s="6" t="n">
        <v>4</v>
      </c>
      <c r="AE63" s="6" t="n">
        <v>4</v>
      </c>
      <c r="AF63" s="6" t="n">
        <v>4</v>
      </c>
      <c r="AG63" s="6" t="n">
        <v>5</v>
      </c>
      <c r="AH63" s="6" t="n">
        <v>5</v>
      </c>
      <c r="AI63" s="6" t="n">
        <v>5</v>
      </c>
      <c r="AJ63" s="6" t="n">
        <v>5</v>
      </c>
      <c r="AK63" s="6" t="n">
        <v>4</v>
      </c>
      <c r="AL63" s="26" t="n">
        <v>2.75</v>
      </c>
      <c r="AM63" s="26" t="n">
        <v>3</v>
      </c>
      <c r="AN63" s="26" t="n">
        <v>3</v>
      </c>
      <c r="AO63" s="26" t="n">
        <v>3</v>
      </c>
      <c r="AP63" s="26" t="n">
        <v>2</v>
      </c>
      <c r="AQ63" s="26" t="n">
        <v>3</v>
      </c>
      <c r="AR63" s="26" t="n">
        <v>2</v>
      </c>
      <c r="AS63" s="26" t="n">
        <v>3</v>
      </c>
      <c r="AT63" s="26" t="n">
        <v>3.5</v>
      </c>
      <c r="AU63" s="26" t="n">
        <v>4</v>
      </c>
      <c r="AV63" s="26" t="n">
        <v>4.5</v>
      </c>
      <c r="AW63" s="26" t="n">
        <v>3.75</v>
      </c>
      <c r="AX63" s="26" t="n">
        <v>4.75</v>
      </c>
      <c r="AY63" s="6" t="n">
        <v>0</v>
      </c>
      <c r="AZ63" s="6" t="n">
        <v>1</v>
      </c>
      <c r="BA63" s="6" t="n"/>
    </row>
    <row r="64">
      <c r="A64" s="6" t="inlineStr">
        <is>
          <t>R063</t>
        </is>
      </c>
      <c r="B64" s="6" t="n">
        <v>0</v>
      </c>
      <c r="C64" s="6" t="n">
        <v>1</v>
      </c>
      <c r="D64" s="6" t="n">
        <v>1</v>
      </c>
      <c r="E64" s="6" t="n">
        <v>61</v>
      </c>
      <c r="F64" s="6" t="n">
        <v>30</v>
      </c>
      <c r="G64" s="6" t="n">
        <v>3</v>
      </c>
      <c r="H64" s="6" t="n"/>
      <c r="I64" s="6" t="n">
        <v>4</v>
      </c>
      <c r="J64" s="6" t="n">
        <v>2</v>
      </c>
      <c r="K64" s="6" t="n"/>
      <c r="L64" s="6" t="n">
        <v>2</v>
      </c>
      <c r="M64" s="6" t="n">
        <v>1</v>
      </c>
      <c r="N64" s="6" t="n">
        <v>4</v>
      </c>
      <c r="O64" s="6" t="n">
        <v>4</v>
      </c>
      <c r="P64" s="6" t="n">
        <v>3</v>
      </c>
      <c r="Q64" s="6" t="n">
        <v>4</v>
      </c>
      <c r="R64" s="6" t="n">
        <v>4</v>
      </c>
      <c r="S64" s="6" t="n">
        <v>3</v>
      </c>
      <c r="T64" s="6" t="n">
        <v>4</v>
      </c>
      <c r="U64" s="6" t="n">
        <v>4</v>
      </c>
      <c r="V64" s="6" t="n">
        <v>3</v>
      </c>
      <c r="W64" s="6" t="n">
        <v>4</v>
      </c>
      <c r="X64" s="6" t="n">
        <v>4</v>
      </c>
      <c r="Y64" s="6" t="n">
        <v>4</v>
      </c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26" t="n">
        <v>3.75</v>
      </c>
      <c r="AM64" s="26" t="n">
        <v>4</v>
      </c>
      <c r="AN64" s="26" t="n">
        <v>4</v>
      </c>
      <c r="AO64" s="26" t="n">
        <v>3.5</v>
      </c>
      <c r="AP64" s="26" t="n">
        <v>3.5</v>
      </c>
      <c r="AQ64" s="26" t="n">
        <v>4</v>
      </c>
      <c r="AR64" s="26" t="n">
        <v>3.75</v>
      </c>
      <c r="AS64" s="26" t="n"/>
      <c r="AT64" s="26" t="n"/>
      <c r="AU64" s="26" t="n"/>
      <c r="AV64" s="26" t="n"/>
      <c r="AW64" s="26" t="n"/>
      <c r="AX64" s="26" t="n"/>
      <c r="AY64" s="6" t="n"/>
      <c r="AZ64" s="6" t="n">
        <v>1</v>
      </c>
      <c r="BA64" s="6" t="n"/>
    </row>
    <row r="65">
      <c r="A65" s="6" t="inlineStr">
        <is>
          <t>R064</t>
        </is>
      </c>
      <c r="B65" s="6" t="n">
        <v>0</v>
      </c>
      <c r="C65" s="6" t="n">
        <v>2</v>
      </c>
      <c r="D65" s="6" t="n">
        <v>1</v>
      </c>
      <c r="E65" s="6" t="n">
        <v>39</v>
      </c>
      <c r="F65" s="6" t="n">
        <v>2</v>
      </c>
      <c r="G65" s="6" t="n">
        <v>1</v>
      </c>
      <c r="H65" s="6" t="n"/>
      <c r="I65" s="6" t="n">
        <v>3</v>
      </c>
      <c r="J65" s="6" t="n">
        <v>3</v>
      </c>
      <c r="K65" s="6" t="n"/>
      <c r="L65" s="6" t="n">
        <v>2</v>
      </c>
      <c r="M65" s="6" t="n">
        <v>1</v>
      </c>
      <c r="N65" s="6" t="n">
        <v>4</v>
      </c>
      <c r="O65" s="6" t="n">
        <v>4</v>
      </c>
      <c r="P65" s="6" t="n">
        <v>4</v>
      </c>
      <c r="Q65" s="6" t="n">
        <v>4</v>
      </c>
      <c r="R65" s="6" t="n">
        <v>3</v>
      </c>
      <c r="S65" s="6" t="n">
        <v>2</v>
      </c>
      <c r="T65" s="6" t="n">
        <v>4</v>
      </c>
      <c r="U65" s="6" t="n">
        <v>3</v>
      </c>
      <c r="V65" s="6" t="n">
        <v>4</v>
      </c>
      <c r="W65" s="6" t="n">
        <v>4</v>
      </c>
      <c r="X65" s="6" t="n">
        <v>4</v>
      </c>
      <c r="Y65" s="6" t="n">
        <v>4</v>
      </c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26" t="n">
        <v>3.5</v>
      </c>
      <c r="AM65" s="26" t="n">
        <v>4</v>
      </c>
      <c r="AN65" s="26" t="n">
        <v>4</v>
      </c>
      <c r="AO65" s="26" t="n">
        <v>4</v>
      </c>
      <c r="AP65" s="26" t="n">
        <v>2.5</v>
      </c>
      <c r="AQ65" s="26" t="n">
        <v>3.5</v>
      </c>
      <c r="AR65" s="26" t="n">
        <v>4</v>
      </c>
      <c r="AS65" s="26" t="n"/>
      <c r="AT65" s="26" t="n"/>
      <c r="AU65" s="26" t="n"/>
      <c r="AV65" s="26" t="n"/>
      <c r="AW65" s="26" t="n"/>
      <c r="AX65" s="26" t="n"/>
      <c r="AY65" s="6" t="n"/>
      <c r="AZ65" s="6" t="n">
        <v>1</v>
      </c>
      <c r="BA65" s="6" t="n"/>
    </row>
    <row r="66">
      <c r="A66" s="6" t="inlineStr">
        <is>
          <t>R065</t>
        </is>
      </c>
      <c r="B66" s="6" t="n">
        <v>1</v>
      </c>
      <c r="C66" s="6" t="n">
        <v>1</v>
      </c>
      <c r="D66" s="6" t="n">
        <v>1</v>
      </c>
      <c r="E66" s="6" t="n">
        <v>53</v>
      </c>
      <c r="F66" s="6" t="n">
        <v>23</v>
      </c>
      <c r="G66" s="6" t="n">
        <v>2</v>
      </c>
      <c r="H66" s="6" t="n"/>
      <c r="I66" s="6" t="n">
        <v>4</v>
      </c>
      <c r="J66" s="6" t="n">
        <v>3</v>
      </c>
      <c r="K66" s="6" t="n"/>
      <c r="L66" s="6" t="n">
        <v>2</v>
      </c>
      <c r="M66" s="6" t="n">
        <v>2</v>
      </c>
      <c r="N66" s="6" t="n">
        <v>3</v>
      </c>
      <c r="O66" s="6" t="n">
        <v>4</v>
      </c>
      <c r="P66" s="6" t="n">
        <v>3</v>
      </c>
      <c r="Q66" s="6" t="n">
        <v>3</v>
      </c>
      <c r="R66" s="6" t="n">
        <v>3</v>
      </c>
      <c r="S66" s="6" t="n">
        <v>3</v>
      </c>
      <c r="T66" s="6" t="n">
        <v>4</v>
      </c>
      <c r="U66" s="6" t="n">
        <v>4</v>
      </c>
      <c r="V66" s="6" t="n">
        <v>3</v>
      </c>
      <c r="W66" s="6" t="n">
        <v>3</v>
      </c>
      <c r="X66" s="6" t="n">
        <v>5</v>
      </c>
      <c r="Y66" s="6" t="n">
        <v>2</v>
      </c>
      <c r="Z66" s="6" t="n">
        <v>4</v>
      </c>
      <c r="AA66" s="6" t="n">
        <v>1</v>
      </c>
      <c r="AB66" s="6" t="n">
        <v>5</v>
      </c>
      <c r="AC66" s="6" t="n">
        <v>3</v>
      </c>
      <c r="AD66" s="6" t="n">
        <v>3</v>
      </c>
      <c r="AE66" s="6" t="n">
        <v>3</v>
      </c>
      <c r="AF66" s="6" t="n">
        <v>4</v>
      </c>
      <c r="AG66" s="6" t="n">
        <v>3</v>
      </c>
      <c r="AH66" s="6" t="n">
        <v>2</v>
      </c>
      <c r="AI66" s="6" t="n">
        <v>2</v>
      </c>
      <c r="AJ66" s="6" t="n">
        <v>3</v>
      </c>
      <c r="AK66" s="6" t="n">
        <v>3</v>
      </c>
      <c r="AL66" s="26" t="n">
        <v>3.375</v>
      </c>
      <c r="AM66" s="26" t="n">
        <v>3</v>
      </c>
      <c r="AN66" s="26" t="n">
        <v>4</v>
      </c>
      <c r="AO66" s="26" t="n">
        <v>3</v>
      </c>
      <c r="AP66" s="26" t="n">
        <v>3</v>
      </c>
      <c r="AQ66" s="26" t="n">
        <v>4</v>
      </c>
      <c r="AR66" s="26" t="n">
        <v>3.25</v>
      </c>
      <c r="AS66" s="26" t="n">
        <v>2.5</v>
      </c>
      <c r="AT66" s="26" t="n">
        <v>4</v>
      </c>
      <c r="AU66" s="26" t="n">
        <v>3</v>
      </c>
      <c r="AV66" s="26" t="n">
        <v>3.5</v>
      </c>
      <c r="AW66" s="26" t="n">
        <v>3.25</v>
      </c>
      <c r="AX66" s="26" t="n">
        <v>2.5</v>
      </c>
      <c r="AY66" s="6" t="n">
        <v>0</v>
      </c>
      <c r="AZ66" s="6" t="n">
        <v>1</v>
      </c>
      <c r="BA66" s="6" t="n"/>
    </row>
    <row r="67">
      <c r="A67" s="6" t="inlineStr">
        <is>
          <t>R066</t>
        </is>
      </c>
      <c r="B67" s="6" t="n">
        <v>0</v>
      </c>
      <c r="C67" s="6" t="n">
        <v>1</v>
      </c>
      <c r="D67" s="6" t="n">
        <v>2</v>
      </c>
      <c r="E67" s="6" t="n">
        <v>50</v>
      </c>
      <c r="F67" s="6" t="n">
        <v>26</v>
      </c>
      <c r="G67" s="6" t="n">
        <v>1</v>
      </c>
      <c r="H67" s="6" t="n"/>
      <c r="I67" s="6" t="n">
        <v>1</v>
      </c>
      <c r="J67" s="6" t="n">
        <v>2</v>
      </c>
      <c r="K67" s="6" t="n"/>
      <c r="L67" s="6" t="n">
        <v>2</v>
      </c>
      <c r="M67" s="6" t="n">
        <v>3</v>
      </c>
      <c r="N67" s="6" t="n">
        <v>3</v>
      </c>
      <c r="O67" s="6" t="n">
        <v>3</v>
      </c>
      <c r="P67" s="6" t="n">
        <v>3</v>
      </c>
      <c r="Q67" s="6" t="n">
        <v>3</v>
      </c>
      <c r="R67" s="6" t="n">
        <v>3</v>
      </c>
      <c r="S67" s="6" t="n">
        <v>3</v>
      </c>
      <c r="T67" s="6" t="n">
        <v>3</v>
      </c>
      <c r="U67" s="6" t="n">
        <v>3</v>
      </c>
      <c r="V67" s="6" t="n">
        <v>5</v>
      </c>
      <c r="W67" s="6" t="n">
        <v>4</v>
      </c>
      <c r="X67" s="6" t="n">
        <v>4</v>
      </c>
      <c r="Y67" s="6" t="n">
        <v>4</v>
      </c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26" t="n">
        <v>3</v>
      </c>
      <c r="AM67" s="26" t="n">
        <v>3</v>
      </c>
      <c r="AN67" s="26" t="n">
        <v>3</v>
      </c>
      <c r="AO67" s="26" t="n">
        <v>3</v>
      </c>
      <c r="AP67" s="26" t="n">
        <v>3</v>
      </c>
      <c r="AQ67" s="26" t="n">
        <v>3</v>
      </c>
      <c r="AR67" s="26" t="n">
        <v>4.25</v>
      </c>
      <c r="AS67" s="26" t="n"/>
      <c r="AT67" s="26" t="n"/>
      <c r="AU67" s="26" t="n"/>
      <c r="AV67" s="26" t="n"/>
      <c r="AW67" s="26" t="n"/>
      <c r="AX67" s="26" t="n"/>
      <c r="AY67" s="6" t="n"/>
      <c r="AZ67" s="6" t="n">
        <v>1</v>
      </c>
      <c r="BA67" s="6" t="n"/>
    </row>
    <row r="68">
      <c r="A68" s="6" t="inlineStr">
        <is>
          <t>R067</t>
        </is>
      </c>
      <c r="B68" s="6" t="n">
        <v>0</v>
      </c>
      <c r="C68" s="6" t="n">
        <v>1</v>
      </c>
      <c r="D68" s="6" t="n">
        <v>1</v>
      </c>
      <c r="E68" s="6" t="n">
        <v>54</v>
      </c>
      <c r="F68" s="6" t="n">
        <v>5</v>
      </c>
      <c r="G68" s="6" t="n">
        <v>2</v>
      </c>
      <c r="H68" s="6" t="n"/>
      <c r="I68" s="6" t="n">
        <v>3</v>
      </c>
      <c r="J68" s="6" t="n">
        <v>2</v>
      </c>
      <c r="K68" s="6" t="n"/>
      <c r="L68" s="6" t="n">
        <v>2</v>
      </c>
      <c r="M68" s="6" t="n">
        <v>1</v>
      </c>
      <c r="N68" s="6" t="n">
        <v>3</v>
      </c>
      <c r="O68" s="6" t="n">
        <v>5</v>
      </c>
      <c r="P68" s="6" t="n">
        <v>4</v>
      </c>
      <c r="Q68" s="6" t="n">
        <v>4</v>
      </c>
      <c r="R68" s="6" t="n">
        <v>4</v>
      </c>
      <c r="S68" s="6" t="n">
        <v>4</v>
      </c>
      <c r="T68" s="6" t="n">
        <v>4</v>
      </c>
      <c r="U68" s="6" t="n">
        <v>5</v>
      </c>
      <c r="V68" s="6" t="n">
        <v>5</v>
      </c>
      <c r="W68" s="6" t="n">
        <v>5</v>
      </c>
      <c r="X68" s="6" t="n">
        <v>5</v>
      </c>
      <c r="Y68" s="6" t="n">
        <v>5</v>
      </c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26" t="n">
        <v>4.125</v>
      </c>
      <c r="AM68" s="26" t="n">
        <v>3</v>
      </c>
      <c r="AN68" s="26" t="n">
        <v>5</v>
      </c>
      <c r="AO68" s="26" t="n">
        <v>4</v>
      </c>
      <c r="AP68" s="26" t="n">
        <v>4</v>
      </c>
      <c r="AQ68" s="26" t="n">
        <v>4.5</v>
      </c>
      <c r="AR68" s="26" t="n">
        <v>5</v>
      </c>
      <c r="AS68" s="26" t="n"/>
      <c r="AT68" s="26" t="n"/>
      <c r="AU68" s="26" t="n"/>
      <c r="AV68" s="26" t="n"/>
      <c r="AW68" s="26" t="n"/>
      <c r="AX68" s="26" t="n"/>
      <c r="AY68" s="6" t="n"/>
      <c r="AZ68" s="6" t="n">
        <v>1</v>
      </c>
      <c r="BA68" s="6" t="n"/>
    </row>
    <row r="69">
      <c r="A69" s="6" t="inlineStr">
        <is>
          <t>R068</t>
        </is>
      </c>
      <c r="B69" s="6" t="n">
        <v>0</v>
      </c>
      <c r="C69" s="6" t="n">
        <v>2</v>
      </c>
      <c r="D69" s="6" t="n">
        <v>1</v>
      </c>
      <c r="E69" s="6" t="n">
        <v>45</v>
      </c>
      <c r="F69" s="6" t="n">
        <v>21</v>
      </c>
      <c r="G69" s="6" t="n">
        <v>1</v>
      </c>
      <c r="H69" s="6" t="n"/>
      <c r="I69" s="6" t="n">
        <v>4</v>
      </c>
      <c r="J69" s="6" t="n">
        <v>2</v>
      </c>
      <c r="K69" s="6" t="n"/>
      <c r="L69" s="6" t="n">
        <v>2</v>
      </c>
      <c r="M69" s="6" t="n">
        <v>2</v>
      </c>
      <c r="N69" s="6" t="n">
        <v>3</v>
      </c>
      <c r="O69" s="6" t="n">
        <v>3</v>
      </c>
      <c r="P69" s="6" t="n">
        <v>3</v>
      </c>
      <c r="Q69" s="6" t="n">
        <v>4</v>
      </c>
      <c r="R69" s="6" t="n">
        <v>4</v>
      </c>
      <c r="S69" s="6" t="n">
        <v>2</v>
      </c>
      <c r="T69" s="6" t="n">
        <v>2</v>
      </c>
      <c r="U69" s="6" t="n">
        <v>3</v>
      </c>
      <c r="V69" s="6" t="n">
        <v>5</v>
      </c>
      <c r="W69" s="6" t="n">
        <v>5</v>
      </c>
      <c r="X69" s="6" t="n">
        <v>5</v>
      </c>
      <c r="Y69" s="6" t="n">
        <v>5</v>
      </c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26" t="n">
        <v>3</v>
      </c>
      <c r="AM69" s="26" t="n">
        <v>3</v>
      </c>
      <c r="AN69" s="26" t="n">
        <v>3</v>
      </c>
      <c r="AO69" s="26" t="n">
        <v>3.5</v>
      </c>
      <c r="AP69" s="26" t="n">
        <v>3</v>
      </c>
      <c r="AQ69" s="26" t="n">
        <v>2.5</v>
      </c>
      <c r="AR69" s="26" t="n">
        <v>5</v>
      </c>
      <c r="AS69" s="26" t="n"/>
      <c r="AT69" s="26" t="n"/>
      <c r="AU69" s="26" t="n"/>
      <c r="AV69" s="26" t="n"/>
      <c r="AW69" s="26" t="n"/>
      <c r="AX69" s="26" t="n"/>
      <c r="AY69" s="6" t="n"/>
      <c r="AZ69" s="6" t="n">
        <v>1</v>
      </c>
      <c r="BA69" s="6" t="n"/>
    </row>
    <row r="70">
      <c r="A70" s="6" t="inlineStr">
        <is>
          <t>R069</t>
        </is>
      </c>
      <c r="B70" s="6" t="n">
        <v>0</v>
      </c>
      <c r="C70" s="6" t="n">
        <v>1</v>
      </c>
      <c r="D70" s="6" t="n">
        <v>1</v>
      </c>
      <c r="E70" s="6" t="n">
        <v>67</v>
      </c>
      <c r="F70" s="6" t="n">
        <v>10</v>
      </c>
      <c r="G70" s="6" t="n">
        <v>2</v>
      </c>
      <c r="H70" s="6" t="n"/>
      <c r="I70" s="6" t="n">
        <v>4</v>
      </c>
      <c r="J70" s="6" t="n">
        <v>2</v>
      </c>
      <c r="K70" s="6" t="n"/>
      <c r="L70" s="6" t="n">
        <v>2</v>
      </c>
      <c r="M70" s="6" t="n">
        <v>2</v>
      </c>
      <c r="N70" s="6" t="n">
        <v>3</v>
      </c>
      <c r="O70" s="6" t="n">
        <v>4</v>
      </c>
      <c r="P70" s="6" t="n">
        <v>2</v>
      </c>
      <c r="Q70" s="6" t="n">
        <v>3</v>
      </c>
      <c r="R70" s="6" t="n">
        <v>2</v>
      </c>
      <c r="S70" s="6" t="n">
        <v>3</v>
      </c>
      <c r="T70" s="6" t="n">
        <v>4</v>
      </c>
      <c r="U70" s="6" t="n">
        <v>3</v>
      </c>
      <c r="V70" s="6" t="n">
        <v>4</v>
      </c>
      <c r="W70" s="6" t="n">
        <v>4</v>
      </c>
      <c r="X70" s="6" t="n">
        <v>4</v>
      </c>
      <c r="Y70" s="6" t="n">
        <v>3</v>
      </c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26" t="n">
        <v>3</v>
      </c>
      <c r="AM70" s="26" t="n">
        <v>3</v>
      </c>
      <c r="AN70" s="26" t="n">
        <v>4</v>
      </c>
      <c r="AO70" s="26" t="n">
        <v>2.5</v>
      </c>
      <c r="AP70" s="26" t="n">
        <v>2.5</v>
      </c>
      <c r="AQ70" s="26" t="n">
        <v>3.5</v>
      </c>
      <c r="AR70" s="26" t="n">
        <v>3.75</v>
      </c>
      <c r="AS70" s="26" t="n"/>
      <c r="AT70" s="26" t="n"/>
      <c r="AU70" s="26" t="n"/>
      <c r="AV70" s="26" t="n"/>
      <c r="AW70" s="26" t="n"/>
      <c r="AX70" s="26" t="n"/>
      <c r="AY70" s="6" t="n"/>
      <c r="AZ70" s="6" t="n">
        <v>1</v>
      </c>
      <c r="BA70" s="6" t="n"/>
    </row>
    <row r="71">
      <c r="A71" s="6" t="inlineStr">
        <is>
          <t>R070</t>
        </is>
      </c>
      <c r="B71" s="6" t="n">
        <v>1</v>
      </c>
      <c r="C71" s="6" t="n">
        <v>2</v>
      </c>
      <c r="D71" s="6" t="n">
        <v>1</v>
      </c>
      <c r="E71" s="6" t="n">
        <v>33</v>
      </c>
      <c r="F71" s="6" t="n">
        <v>6</v>
      </c>
      <c r="G71" s="6" t="n">
        <v>2</v>
      </c>
      <c r="H71" s="6" t="n"/>
      <c r="I71" s="6" t="n">
        <v>3</v>
      </c>
      <c r="J71" s="6" t="n">
        <v>3</v>
      </c>
      <c r="K71" s="6" t="n"/>
      <c r="L71" s="6" t="n">
        <v>4</v>
      </c>
      <c r="M71" s="6" t="n">
        <v>2</v>
      </c>
      <c r="N71" s="6" t="n">
        <v>5</v>
      </c>
      <c r="O71" s="6" t="n">
        <v>5</v>
      </c>
      <c r="P71" s="6" t="n">
        <v>5</v>
      </c>
      <c r="Q71" s="6" t="n">
        <v>5</v>
      </c>
      <c r="R71" s="6" t="n">
        <v>4</v>
      </c>
      <c r="S71" s="6" t="n">
        <v>2</v>
      </c>
      <c r="T71" s="6" t="n">
        <v>3</v>
      </c>
      <c r="U71" s="6" t="n">
        <v>5</v>
      </c>
      <c r="V71" s="6" t="n">
        <v>4</v>
      </c>
      <c r="W71" s="6" t="n">
        <v>5</v>
      </c>
      <c r="X71" s="6" t="n">
        <v>5</v>
      </c>
      <c r="Y71" s="6" t="n">
        <v>5</v>
      </c>
      <c r="Z71" s="6" t="n">
        <v>1</v>
      </c>
      <c r="AA71" s="6" t="n">
        <v>3</v>
      </c>
      <c r="AB71" s="6" t="n">
        <v>3</v>
      </c>
      <c r="AC71" s="6" t="n">
        <v>3</v>
      </c>
      <c r="AD71" s="6" t="n">
        <v>3</v>
      </c>
      <c r="AE71" s="6" t="n">
        <v>3</v>
      </c>
      <c r="AF71" s="6" t="n">
        <v>3</v>
      </c>
      <c r="AG71" s="6" t="n">
        <v>4</v>
      </c>
      <c r="AH71" s="6" t="n">
        <v>3</v>
      </c>
      <c r="AI71" s="6" t="n">
        <v>4</v>
      </c>
      <c r="AJ71" s="6" t="n">
        <v>4</v>
      </c>
      <c r="AK71" s="6" t="n">
        <v>4</v>
      </c>
      <c r="AL71" s="26" t="n">
        <v>4.25</v>
      </c>
      <c r="AM71" s="26" t="n">
        <v>5</v>
      </c>
      <c r="AN71" s="26" t="n">
        <v>5</v>
      </c>
      <c r="AO71" s="26" t="n">
        <v>5</v>
      </c>
      <c r="AP71" s="26" t="n">
        <v>3</v>
      </c>
      <c r="AQ71" s="26" t="n">
        <v>4</v>
      </c>
      <c r="AR71" s="26" t="n">
        <v>4.75</v>
      </c>
      <c r="AS71" s="26" t="n">
        <v>2</v>
      </c>
      <c r="AT71" s="26" t="n">
        <v>3</v>
      </c>
      <c r="AU71" s="26" t="n">
        <v>3</v>
      </c>
      <c r="AV71" s="26" t="n">
        <v>3.5</v>
      </c>
      <c r="AW71" s="26" t="n">
        <v>2.875</v>
      </c>
      <c r="AX71" s="26" t="n">
        <v>3.75</v>
      </c>
      <c r="AY71" s="6" t="n">
        <v>0</v>
      </c>
      <c r="AZ71" s="6" t="n">
        <v>1</v>
      </c>
      <c r="BA71" s="6" t="n"/>
    </row>
    <row r="72">
      <c r="A72" s="6" t="inlineStr">
        <is>
          <t>R071</t>
        </is>
      </c>
      <c r="B72" s="6" t="n">
        <v>1</v>
      </c>
      <c r="C72" s="6" t="n">
        <v>1</v>
      </c>
      <c r="D72" s="6" t="n">
        <v>1</v>
      </c>
      <c r="E72" s="6" t="n">
        <v>54</v>
      </c>
      <c r="F72" s="6" t="n">
        <v>18</v>
      </c>
      <c r="G72" s="6" t="n">
        <v>3</v>
      </c>
      <c r="H72" s="6" t="n"/>
      <c r="I72" s="6" t="n">
        <v>4</v>
      </c>
      <c r="J72" s="6" t="n">
        <v>4</v>
      </c>
      <c r="K72" s="6" t="n"/>
      <c r="L72" s="6" t="n">
        <v>3</v>
      </c>
      <c r="M72" s="6" t="n">
        <v>1</v>
      </c>
      <c r="N72" s="6" t="n">
        <v>4</v>
      </c>
      <c r="O72" s="6" t="n">
        <v>5</v>
      </c>
      <c r="P72" s="6" t="n">
        <v>4</v>
      </c>
      <c r="Q72" s="6" t="n">
        <v>5</v>
      </c>
      <c r="R72" s="6" t="n">
        <v>5</v>
      </c>
      <c r="S72" s="6" t="n">
        <v>5</v>
      </c>
      <c r="T72" s="6" t="n">
        <v>5</v>
      </c>
      <c r="U72" s="6" t="n">
        <v>5</v>
      </c>
      <c r="V72" s="6" t="n">
        <v>3</v>
      </c>
      <c r="W72" s="6" t="n">
        <v>3</v>
      </c>
      <c r="X72" s="6" t="n">
        <v>3</v>
      </c>
      <c r="Y72" s="6" t="n">
        <v>3</v>
      </c>
      <c r="Z72" s="6" t="n">
        <v>4</v>
      </c>
      <c r="AA72" s="6" t="n">
        <v>4</v>
      </c>
      <c r="AB72" s="6" t="n">
        <v>4</v>
      </c>
      <c r="AC72" s="6" t="n">
        <v>4</v>
      </c>
      <c r="AD72" s="6" t="n">
        <v>4</v>
      </c>
      <c r="AE72" s="6" t="n">
        <v>4</v>
      </c>
      <c r="AF72" s="6" t="n">
        <v>4</v>
      </c>
      <c r="AG72" s="6" t="n">
        <v>4</v>
      </c>
      <c r="AH72" s="6" t="n">
        <v>4</v>
      </c>
      <c r="AI72" s="6" t="n">
        <v>4</v>
      </c>
      <c r="AJ72" s="6" t="n">
        <v>4</v>
      </c>
      <c r="AK72" s="6" t="n">
        <v>4</v>
      </c>
      <c r="AL72" s="26" t="n">
        <v>4.75</v>
      </c>
      <c r="AM72" s="26" t="n">
        <v>4</v>
      </c>
      <c r="AN72" s="26" t="n">
        <v>5</v>
      </c>
      <c r="AO72" s="26" t="n">
        <v>4.5</v>
      </c>
      <c r="AP72" s="26" t="n">
        <v>5</v>
      </c>
      <c r="AQ72" s="26" t="n">
        <v>5</v>
      </c>
      <c r="AR72" s="26" t="n">
        <v>3</v>
      </c>
      <c r="AS72" s="26" t="n">
        <v>4</v>
      </c>
      <c r="AT72" s="26" t="n">
        <v>4</v>
      </c>
      <c r="AU72" s="26" t="n">
        <v>4</v>
      </c>
      <c r="AV72" s="26" t="n">
        <v>4</v>
      </c>
      <c r="AW72" s="26" t="n">
        <v>4</v>
      </c>
      <c r="AX72" s="26" t="n">
        <v>4</v>
      </c>
      <c r="AY72" s="6" t="n">
        <v>1</v>
      </c>
      <c r="AZ72" s="6" t="n">
        <v>1</v>
      </c>
      <c r="BA72" s="6" t="n"/>
    </row>
    <row r="73">
      <c r="A73" s="6" t="inlineStr">
        <is>
          <t>R072</t>
        </is>
      </c>
      <c r="B73" s="6" t="n">
        <v>1</v>
      </c>
      <c r="C73" s="6" t="n">
        <v>1</v>
      </c>
      <c r="D73" s="6" t="n">
        <v>1</v>
      </c>
      <c r="E73" s="6" t="n">
        <v>53</v>
      </c>
      <c r="F73" s="6" t="n">
        <v>25</v>
      </c>
      <c r="G73" s="6" t="n">
        <v>4</v>
      </c>
      <c r="H73" s="6" t="inlineStr">
        <is>
          <t>공무</t>
        </is>
      </c>
      <c r="I73" s="6" t="n">
        <v>3</v>
      </c>
      <c r="J73" s="6" t="n">
        <v>2</v>
      </c>
      <c r="K73" s="6" t="n"/>
      <c r="L73" s="6" t="n">
        <v>2</v>
      </c>
      <c r="M73" s="6" t="n">
        <v>4</v>
      </c>
      <c r="N73" s="6" t="n">
        <v>4</v>
      </c>
      <c r="O73" s="6" t="n">
        <v>4</v>
      </c>
      <c r="P73" s="6" t="n">
        <v>4</v>
      </c>
      <c r="Q73" s="6" t="n">
        <v>4</v>
      </c>
      <c r="R73" s="6" t="n">
        <v>4</v>
      </c>
      <c r="S73" s="6" t="n">
        <v>4</v>
      </c>
      <c r="T73" s="6" t="n">
        <v>4</v>
      </c>
      <c r="U73" s="6" t="n">
        <v>5</v>
      </c>
      <c r="V73" s="6" t="n">
        <v>2</v>
      </c>
      <c r="W73" s="6" t="n">
        <v>2</v>
      </c>
      <c r="X73" s="6" t="n">
        <v>2</v>
      </c>
      <c r="Y73" s="6" t="n">
        <v>2</v>
      </c>
      <c r="Z73" s="6" t="n">
        <v>4</v>
      </c>
      <c r="AA73" s="6" t="n">
        <v>4</v>
      </c>
      <c r="AB73" s="6" t="n">
        <v>4</v>
      </c>
      <c r="AC73" s="6" t="n">
        <v>4</v>
      </c>
      <c r="AD73" s="6" t="n">
        <v>4</v>
      </c>
      <c r="AE73" s="6" t="n">
        <v>4</v>
      </c>
      <c r="AF73" s="6" t="n">
        <v>4</v>
      </c>
      <c r="AG73" s="6" t="n">
        <v>4</v>
      </c>
      <c r="AH73" s="6" t="n">
        <v>3</v>
      </c>
      <c r="AI73" s="6" t="n">
        <v>4</v>
      </c>
      <c r="AJ73" s="6" t="n">
        <v>4</v>
      </c>
      <c r="AK73" s="6" t="n">
        <v>3</v>
      </c>
      <c r="AL73" s="26" t="n">
        <v>4.125</v>
      </c>
      <c r="AM73" s="26" t="n">
        <v>4</v>
      </c>
      <c r="AN73" s="26" t="n">
        <v>4</v>
      </c>
      <c r="AO73" s="26" t="n">
        <v>4</v>
      </c>
      <c r="AP73" s="26" t="n">
        <v>4</v>
      </c>
      <c r="AQ73" s="26" t="n">
        <v>4.5</v>
      </c>
      <c r="AR73" s="26" t="n">
        <v>2</v>
      </c>
      <c r="AS73" s="26" t="n">
        <v>4</v>
      </c>
      <c r="AT73" s="26" t="n">
        <v>4</v>
      </c>
      <c r="AU73" s="26" t="n">
        <v>4</v>
      </c>
      <c r="AV73" s="26" t="n">
        <v>4</v>
      </c>
      <c r="AW73" s="26" t="n">
        <v>4</v>
      </c>
      <c r="AX73" s="26" t="n">
        <v>3.5</v>
      </c>
      <c r="AY73" s="6" t="n">
        <v>0</v>
      </c>
      <c r="AZ73" s="6" t="n">
        <v>1</v>
      </c>
      <c r="BA73" s="6" t="n"/>
    </row>
    <row r="74">
      <c r="A74" s="6" t="inlineStr">
        <is>
          <t>R073</t>
        </is>
      </c>
      <c r="B74" s="6" t="n">
        <v>0</v>
      </c>
      <c r="C74" s="6" t="n">
        <v>2</v>
      </c>
      <c r="D74" s="6" t="n">
        <v>1</v>
      </c>
      <c r="E74" s="6" t="n">
        <v>37</v>
      </c>
      <c r="F74" s="6" t="n">
        <v>2</v>
      </c>
      <c r="G74" s="6" t="n">
        <v>4</v>
      </c>
      <c r="H74" s="6" t="inlineStr">
        <is>
          <t>설계자</t>
        </is>
      </c>
      <c r="I74" s="6" t="n">
        <v>4</v>
      </c>
      <c r="J74" s="6" t="n">
        <v>2</v>
      </c>
      <c r="K74" s="6" t="n"/>
      <c r="L74" s="6" t="n">
        <v>4</v>
      </c>
      <c r="M74" s="6" t="n">
        <v>3</v>
      </c>
      <c r="N74" s="6" t="n">
        <v>1</v>
      </c>
      <c r="O74" s="6" t="n">
        <v>5</v>
      </c>
      <c r="P74" s="6" t="n">
        <v>3</v>
      </c>
      <c r="Q74" s="6" t="n">
        <v>1</v>
      </c>
      <c r="R74" s="6" t="n">
        <v>5</v>
      </c>
      <c r="S74" s="6" t="n">
        <v>2</v>
      </c>
      <c r="T74" s="6" t="n">
        <v>3</v>
      </c>
      <c r="U74" s="6" t="n">
        <v>2</v>
      </c>
      <c r="V74" s="6" t="n">
        <v>5</v>
      </c>
      <c r="W74" s="6" t="n">
        <v>5</v>
      </c>
      <c r="X74" s="6" t="n">
        <v>5</v>
      </c>
      <c r="Y74" s="6" t="n">
        <v>4</v>
      </c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26" t="n">
        <v>2.75</v>
      </c>
      <c r="AM74" s="26" t="n">
        <v>1</v>
      </c>
      <c r="AN74" s="26" t="n">
        <v>5</v>
      </c>
      <c r="AO74" s="26" t="n">
        <v>2</v>
      </c>
      <c r="AP74" s="26" t="n">
        <v>3.5</v>
      </c>
      <c r="AQ74" s="26" t="n">
        <v>2.5</v>
      </c>
      <c r="AR74" s="26" t="n">
        <v>4.75</v>
      </c>
      <c r="AS74" s="26" t="n"/>
      <c r="AT74" s="26" t="n"/>
      <c r="AU74" s="26" t="n"/>
      <c r="AV74" s="26" t="n"/>
      <c r="AW74" s="26" t="n"/>
      <c r="AX74" s="26" t="n"/>
      <c r="AY74" s="6" t="n"/>
      <c r="AZ74" s="6" t="n">
        <v>1</v>
      </c>
      <c r="BA74" s="6" t="n"/>
    </row>
  </sheetData>
  <autoFilter ref="A1:BA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7"/>
  <cols>
    <col width="16" customWidth="1" min="1" max="1"/>
    <col width="22" customWidth="1" min="2" max="2"/>
    <col width="24" customWidth="1" min="3" max="3"/>
    <col width="60" customWidth="1" min="4" max="4"/>
    <col width="50" customWidth="1" min="5" max="5"/>
    <col width="22" customWidth="1" min="6" max="6"/>
    <col width="36" customWidth="1" min="7" max="7"/>
    <col width="34" customWidth="1" min="8" max="8"/>
  </cols>
  <sheetData>
    <row r="1" ht="32" customHeight="1">
      <c r="A1" s="4" t="inlineStr">
        <is>
          <t>변수명(분석자료·CSV)</t>
        </is>
      </c>
      <c r="B1" s="4" t="inlineStr">
        <is>
          <t>코딩자료 열 이름</t>
        </is>
      </c>
      <c r="C1" s="4" t="inlineStr">
        <is>
          <t>블록</t>
        </is>
      </c>
      <c r="D1" s="4" t="inlineStr">
        <is>
          <t>문항 전문(부록1)</t>
        </is>
      </c>
      <c r="E1" s="4" t="inlineStr">
        <is>
          <t>코딩 규칙</t>
        </is>
      </c>
      <c r="F1" s="4" t="inlineStr">
        <is>
          <t>하위요인</t>
        </is>
      </c>
      <c r="G1" s="4" t="inlineStr">
        <is>
          <t>분석 역할(&lt;표 4-3&gt;)</t>
        </is>
      </c>
      <c r="H1" s="4" t="inlineStr">
        <is>
          <t>비고</t>
        </is>
      </c>
    </row>
    <row r="2">
      <c r="A2" s="11" t="inlineStr">
        <is>
          <t>resp_id</t>
        </is>
      </c>
      <c r="B2" s="11" t="inlineStr">
        <is>
          <t>resp_id</t>
        </is>
      </c>
      <c r="C2" s="11" t="inlineStr">
        <is>
          <t>관리 변수</t>
        </is>
      </c>
      <c r="D2" s="11" t="n"/>
      <c r="E2" s="11" t="n"/>
      <c r="F2" s="11" t="n"/>
      <c r="G2" s="11" t="inlineStr">
        <is>
          <t>식별자</t>
        </is>
      </c>
      <c r="H2" s="11" t="inlineStr">
        <is>
          <t>응답 1건 식별자(원본 행 순서 R001∼R073)</t>
        </is>
      </c>
    </row>
    <row r="3" ht="32" customHeight="1">
      <c r="A3" s="11" t="inlineStr">
        <is>
          <t>group</t>
        </is>
      </c>
      <c r="B3" s="11" t="inlineStr">
        <is>
          <t>group</t>
        </is>
      </c>
      <c r="C3" s="11" t="inlineStr">
        <is>
          <t>관리 변수</t>
        </is>
      </c>
      <c r="D3" s="11" t="n"/>
      <c r="E3" s="11" t="inlineStr">
        <is>
          <t>1=CCTV YOLO-LLM 안전알림 도입 현장, 0=CCTV YOLO-LLM 안전알림 미도입 현장</t>
        </is>
      </c>
      <c r="F3" s="11" t="n"/>
      <c r="G3" s="11" t="inlineStr">
        <is>
          <t>독립변수(D)</t>
        </is>
      </c>
      <c r="H3" s="11" t="inlineStr">
        <is>
          <t>&lt;표 4-3&gt; 독립변수. 자기보고 분기값(명부 대조 전)</t>
        </is>
      </c>
    </row>
    <row r="4" ht="32" customHeight="1">
      <c r="A4" s="11" t="inlineStr">
        <is>
          <t>A1_affil</t>
        </is>
      </c>
      <c r="B4" s="11" t="inlineStr">
        <is>
          <t>A1_소속</t>
        </is>
      </c>
      <c r="C4" s="11" t="inlineStr">
        <is>
          <t>Part A 일반 사항·현장 운영 특성</t>
        </is>
      </c>
      <c r="D4" s="11" t="inlineStr">
        <is>
          <t>귀하의 소속 구분은?</t>
        </is>
      </c>
      <c r="E4" s="11" t="inlineStr">
        <is>
          <t>1=시공사, 2=발주청(공사감독·감리원 포함)</t>
        </is>
      </c>
      <c r="F4" s="11" t="n"/>
      <c r="G4" s="11" t="inlineStr">
        <is>
          <t>조정변수: 범주형 통제요인</t>
        </is>
      </c>
      <c r="H4" s="11" t="inlineStr">
        <is>
          <t>기준범주=시공사(04장 제5절 제2항)</t>
        </is>
      </c>
    </row>
    <row r="5" ht="32" customHeight="1">
      <c r="A5" s="11" t="inlineStr">
        <is>
          <t>A2_sex</t>
        </is>
      </c>
      <c r="B5" s="11" t="inlineStr">
        <is>
          <t>A2_성별</t>
        </is>
      </c>
      <c r="C5" s="11" t="inlineStr">
        <is>
          <t>Part A 일반 사항·현장 운영 특성</t>
        </is>
      </c>
      <c r="D5" s="11" t="inlineStr">
        <is>
          <t>귀하의 성별은?</t>
        </is>
      </c>
      <c r="E5" s="11" t="inlineStr">
        <is>
          <t>1=남성, 2=여성</t>
        </is>
      </c>
      <c r="F5" s="11" t="n"/>
      <c r="G5" s="11" t="inlineStr">
        <is>
          <t>조정변수: 범주형 통제요인</t>
        </is>
      </c>
      <c r="H5" s="11" t="inlineStr">
        <is>
          <t>기준범주=남성</t>
        </is>
      </c>
    </row>
    <row r="6" ht="32" customHeight="1">
      <c r="A6" s="11" t="inlineStr">
        <is>
          <t>A3_age</t>
        </is>
      </c>
      <c r="B6" s="11" t="inlineStr">
        <is>
          <t>A3_나이</t>
        </is>
      </c>
      <c r="C6" s="11" t="inlineStr">
        <is>
          <t>Part A 일반 사항·현장 운영 특성</t>
        </is>
      </c>
      <c r="D6" s="11" t="inlineStr">
        <is>
          <t>응답일 현재 귀하의 만 나이는?</t>
        </is>
      </c>
      <c r="E6" s="11" t="inlineStr">
        <is>
          <t>숫자 그대로(연속)</t>
        </is>
      </c>
      <c r="F6" s="11" t="n"/>
      <c r="G6" s="11" t="inlineStr">
        <is>
          <t>조정변수: 연속 공변량</t>
        </is>
      </c>
      <c r="H6" s="11" t="inlineStr">
        <is>
          <t>연속값 그대로 투입</t>
        </is>
      </c>
    </row>
    <row r="7" ht="32" customHeight="1">
      <c r="A7" s="11" t="inlineStr">
        <is>
          <t>A4_exp</t>
        </is>
      </c>
      <c r="B7" s="11" t="inlineStr">
        <is>
          <t>A4_경력</t>
        </is>
      </c>
      <c r="C7" s="11" t="inlineStr">
        <is>
          <t>Part A 일반 사항·현장 운영 특성</t>
        </is>
      </c>
      <c r="D7" s="11" t="inlineStr">
        <is>
          <t>귀하의 건설현장 근무 경력은 약 몇 년입니까? (응답일까지 안전관리·공사감독·시공관리 등 현장 업무에 종사한 전체 기간)</t>
        </is>
      </c>
      <c r="E7" s="11" t="inlineStr">
        <is>
          <t>숫자 그대로(연속)</t>
        </is>
      </c>
      <c r="F7" s="11" t="n"/>
      <c r="G7" s="11" t="inlineStr">
        <is>
          <t>조정변수: 연속 공변량</t>
        </is>
      </c>
      <c r="H7" s="11" t="inlineStr">
        <is>
          <t>연속값 그대로 투입</t>
        </is>
      </c>
    </row>
    <row r="8" ht="32" customHeight="1">
      <c r="A8" s="11" t="inlineStr">
        <is>
          <t>A5_role</t>
        </is>
      </c>
      <c r="B8" s="11" t="inlineStr">
        <is>
          <t>A5_역할</t>
        </is>
      </c>
      <c r="C8" s="11" t="inlineStr">
        <is>
          <t>Part A 일반 사항·현장 운영 특성</t>
        </is>
      </c>
      <c r="D8" s="11" t="inlineStr">
        <is>
          <t>현장에서 귀하가 맡고 있는 역할은?</t>
        </is>
      </c>
      <c r="E8" s="11" t="inlineStr">
        <is>
          <t>1=공사감독, 2=안전관리자, 3=현장소장, 4=기타 (그 외 텍스트=4, '.'은 무응답→결측)</t>
        </is>
      </c>
      <c r="F8" s="11" t="n"/>
      <c r="G8" s="11" t="inlineStr">
        <is>
          <t>조정변수: 범주형 통제요인</t>
        </is>
      </c>
      <c r="H8" s="11" t="inlineStr">
        <is>
          <t>기준범주=공사감독, 4수준</t>
        </is>
      </c>
    </row>
    <row r="9" ht="32" customHeight="1">
      <c r="A9" s="11" t="inlineStr">
        <is>
          <t>A5_role_other</t>
        </is>
      </c>
      <c r="B9" s="11" t="inlineStr">
        <is>
          <t>A5_기타텍스트</t>
        </is>
      </c>
      <c r="C9" s="11" t="inlineStr">
        <is>
          <t>Part A 일반 사항·현장 운영 특성</t>
        </is>
      </c>
      <c r="D9" s="11" t="inlineStr">
        <is>
          <t>A5 기타(  ) 원문</t>
        </is>
      </c>
      <c r="E9" s="11" t="inlineStr">
        <is>
          <t>원문 텍스트(strip)</t>
        </is>
      </c>
      <c r="F9" s="11" t="n"/>
      <c r="G9" s="11" t="inlineStr">
        <is>
          <t>참고(기타 원문)</t>
        </is>
      </c>
      <c r="H9" s="11" t="inlineStr">
        <is>
          <t>A5=4일 때 원문</t>
        </is>
      </c>
    </row>
    <row r="10" ht="32" customHeight="1">
      <c r="A10" s="11" t="inlineStr">
        <is>
          <t>A6_cost</t>
        </is>
      </c>
      <c r="B10" s="11" t="inlineStr">
        <is>
          <t>A6_총공사비</t>
        </is>
      </c>
      <c r="C10" s="11" t="inlineStr">
        <is>
          <t>Part A 일반 사항·현장 운영 특성</t>
        </is>
      </c>
      <c r="D10" s="11" t="inlineStr">
        <is>
          <t>현재 담당 현장의 총공사비 구간은?</t>
        </is>
      </c>
      <c r="E10" s="11" t="inlineStr">
        <is>
          <t>1=20억 원 미만, 2=20억 원 이상∼50억 원 미만, 3=50억 원 이상∼120억 원 미만, 4=120억 원 이상</t>
        </is>
      </c>
      <c r="F10" s="11" t="n"/>
      <c r="G10" s="11" t="inlineStr">
        <is>
          <t>조정변수: 범주형 통제요인</t>
        </is>
      </c>
      <c r="H10" s="11" t="inlineStr">
        <is>
          <t>기준범주=20억 원 미만. 조사용 4구간(등간 아님)</t>
        </is>
      </c>
    </row>
    <row r="11" ht="48" customHeight="1">
      <c r="A11" s="11" t="inlineStr">
        <is>
          <t>A7_path</t>
        </is>
      </c>
      <c r="B11" s="11" t="inlineStr">
        <is>
          <t>A7_인지경로</t>
        </is>
      </c>
      <c r="C11" s="11" t="inlineStr">
        <is>
          <t>Part A 일반 사항·현장 운영 특성</t>
        </is>
      </c>
      <c r="D11" s="11" t="inlineStr">
        <is>
          <t>안전관리 담당자가 현장에 없을 때(이동·사무실 업무·야간 등) 위험 상황을 알게 되는 주된 경로는 무엇입니까?</t>
        </is>
      </c>
      <c r="E11" s="11" t="inlineStr">
        <is>
          <t>1=알게 될 방법이 없다, 2=작업자나 반장의 전화·보고, 3=사무실 등에서 CCTV 화면을 직접 본다, 4=자동 알림(문자·메신저·앱)을 받는다, 5=기타 (그 외 텍스트=5)</t>
        </is>
      </c>
      <c r="F11" s="11" t="n"/>
      <c r="G11" s="11" t="inlineStr">
        <is>
          <t>참고 변수: 현장 운영 특성</t>
        </is>
      </c>
      <c r="H11" s="11" t="inlineStr">
        <is>
          <t>운용 실태 확인 지표(가설 검정 미투입)</t>
        </is>
      </c>
    </row>
    <row r="12" ht="32" customHeight="1">
      <c r="A12" s="11" t="inlineStr">
        <is>
          <t>A7_path_other</t>
        </is>
      </c>
      <c r="B12" s="11" t="inlineStr">
        <is>
          <t>A7_기타텍스트</t>
        </is>
      </c>
      <c r="C12" s="11" t="inlineStr">
        <is>
          <t>Part A 일반 사항·현장 운영 특성</t>
        </is>
      </c>
      <c r="D12" s="11" t="inlineStr">
        <is>
          <t>A7 기타(  ) 원문</t>
        </is>
      </c>
      <c r="E12" s="11" t="inlineStr">
        <is>
          <t>원문 텍스트(strip)</t>
        </is>
      </c>
      <c r="F12" s="11" t="n"/>
      <c r="G12" s="11" t="inlineStr">
        <is>
          <t>참고(기타 원문)</t>
        </is>
      </c>
      <c r="H12" s="11" t="inlineStr">
        <is>
          <t>A7=5일 때 원문</t>
        </is>
      </c>
    </row>
    <row r="13" ht="32" customHeight="1">
      <c r="A13" s="11" t="inlineStr">
        <is>
          <t>A8_when</t>
        </is>
      </c>
      <c r="B13" s="11" t="inlineStr">
        <is>
          <t>A8_인지시점</t>
        </is>
      </c>
      <c r="C13" s="11" t="inlineStr">
        <is>
          <t>Part A 일반 사항·현장 운영 특성</t>
        </is>
      </c>
      <c r="D13" s="11" t="inlineStr">
        <is>
          <t>비점검 시간에 생긴 위험 상황은 보통 언제 알게 됩니까?</t>
        </is>
      </c>
      <c r="E13" s="11" t="inlineStr">
        <is>
          <t>1=다음 순찰 때, 2=누군가 알려줄 때, 3=발생 직후 알림으로, 4=모르고 지나가는 경우가 많다</t>
        </is>
      </c>
      <c r="F13" s="11" t="n"/>
      <c r="G13" s="11" t="inlineStr">
        <is>
          <t>참고 변수: 현장 운영 특성</t>
        </is>
      </c>
      <c r="H13" s="11" t="inlineStr">
        <is>
          <t>운용 실태 확인 지표(가설 검정 미투입)</t>
        </is>
      </c>
    </row>
    <row r="14" ht="32" customHeight="1">
      <c r="A14" s="11" t="inlineStr">
        <is>
          <t>A9_lag</t>
        </is>
      </c>
      <c r="B14" s="11" t="inlineStr">
        <is>
          <t>A9_전달소요</t>
        </is>
      </c>
      <c r="C14" s="11" t="inlineStr">
        <is>
          <t>Part A 일반 사항·현장 운영 특성</t>
        </is>
      </c>
      <c r="D14" s="11" t="inlineStr">
        <is>
          <t>위험 상황을 알고 난 뒤 현장에 조치 지시가 전달되기까지 보통 얼마나 걸립니까?</t>
        </is>
      </c>
      <c r="E14" s="11" t="inlineStr">
        <is>
          <t>1=즉시∼5분, 2=5분 초과∼30분, 3=30분 초과∼1시간, 4=1시간 초과 또는 다음 순찰 때</t>
        </is>
      </c>
      <c r="F14" s="11" t="n"/>
      <c r="G14" s="11" t="inlineStr">
        <is>
          <t>참고 변수: 현장 운영 특성</t>
        </is>
      </c>
      <c r="H14" s="11" t="inlineStr">
        <is>
          <t>과정 지표 — &lt;표 4-6&gt; 조합 판정에 사용</t>
        </is>
      </c>
    </row>
    <row r="15" ht="32" customHeight="1">
      <c r="A15" s="11" t="inlineStr">
        <is>
          <t>B1</t>
        </is>
      </c>
      <c r="B15" s="11" t="inlineStr">
        <is>
          <t>B1</t>
        </is>
      </c>
      <c r="C15" s="11" t="inlineStr">
        <is>
          <t>Part B 안전관리 실효성</t>
        </is>
      </c>
      <c r="D15" s="11" t="inlineStr">
        <is>
          <t>우리 현장에서는 위험 상황을 조기에 인지한다.</t>
        </is>
      </c>
      <c r="E15" s="11" t="inlineStr">
        <is>
          <t>① 전혀 그렇지 않다=1 … ⑤ 매우 그렇다=5 (동그라미 숫자로 판정, 그 외=결측)</t>
        </is>
      </c>
      <c r="F15" s="11" t="inlineStr">
        <is>
          <t>Y1 조기인지</t>
        </is>
      </c>
      <c r="G15" s="11" t="inlineStr">
        <is>
          <t>종속변수(Y) 구성 문항</t>
        </is>
      </c>
      <c r="H15" s="11" t="n"/>
    </row>
    <row r="16" ht="32" customHeight="1">
      <c r="A16" s="11" t="inlineStr">
        <is>
          <t>B2</t>
        </is>
      </c>
      <c r="B16" s="11" t="inlineStr">
        <is>
          <t>B2</t>
        </is>
      </c>
      <c r="C16" s="11" t="inlineStr">
        <is>
          <t>Part B 안전관리 실효성</t>
        </is>
      </c>
      <c r="D16" s="11" t="inlineStr">
        <is>
          <t>우리 현장에서는 위험 상황을 인지하면 초동 대응을 빠르게 지시한다.</t>
        </is>
      </c>
      <c r="E16" s="11" t="inlineStr">
        <is>
          <t>① 전혀 그렇지 않다=1 … ⑤ 매우 그렇다=5 (동그라미 숫자로 판정, 그 외=결측)</t>
        </is>
      </c>
      <c r="F16" s="11" t="inlineStr">
        <is>
          <t>Y2 대응 신속성</t>
        </is>
      </c>
      <c r="G16" s="11" t="inlineStr">
        <is>
          <t>종속변수(Y) 구성 문항</t>
        </is>
      </c>
      <c r="H16" s="11" t="n"/>
    </row>
    <row r="17" ht="32" customHeight="1">
      <c r="A17" s="11" t="inlineStr">
        <is>
          <t>B3</t>
        </is>
      </c>
      <c r="B17" s="11" t="inlineStr">
        <is>
          <t>B3</t>
        </is>
      </c>
      <c r="C17" s="11" t="inlineStr">
        <is>
          <t>Part B 안전관리 실효성</t>
        </is>
      </c>
      <c r="D17" s="11" t="inlineStr">
        <is>
          <t>우리 현장에서는 안전관리 담당자가 현장 밖에서도 위험 상황을 신속하게 파악한다.</t>
        </is>
      </c>
      <c r="E17" s="11" t="inlineStr">
        <is>
          <t>① 전혀 그렇지 않다=1 … ⑤ 매우 그렇다=5 (동그라미 숫자로 판정, 그 외=결측)</t>
        </is>
      </c>
      <c r="F17" s="11" t="inlineStr">
        <is>
          <t>Y3 원격 파악</t>
        </is>
      </c>
      <c r="G17" s="11" t="inlineStr">
        <is>
          <t>종속변수(Y) 구성 문항</t>
        </is>
      </c>
      <c r="H17" s="11" t="n"/>
    </row>
    <row r="18" ht="32" customHeight="1">
      <c r="A18" s="11" t="inlineStr">
        <is>
          <t>B4</t>
        </is>
      </c>
      <c r="B18" s="11" t="inlineStr">
        <is>
          <t>B4</t>
        </is>
      </c>
      <c r="C18" s="11" t="inlineStr">
        <is>
          <t>Part B 안전관리 실효성</t>
        </is>
      </c>
      <c r="D18" s="11" t="inlineStr">
        <is>
          <t>우리 현장에서는 멀리 떨어진 곳에서도 위험 정보와 조치 필요사항을 원활하게 공유한다.</t>
        </is>
      </c>
      <c r="E18" s="11" t="inlineStr">
        <is>
          <t>① 전혀 그렇지 않다=1 … ⑤ 매우 그렇다=5 (동그라미 숫자로 판정, 그 외=결측)</t>
        </is>
      </c>
      <c r="F18" s="11" t="inlineStr">
        <is>
          <t>Y3 원격 파악</t>
        </is>
      </c>
      <c r="G18" s="11" t="inlineStr">
        <is>
          <t>종속변수(Y) 구성 문항</t>
        </is>
      </c>
      <c r="H18" s="11" t="n"/>
    </row>
    <row r="19" ht="32" customHeight="1">
      <c r="A19" s="11" t="inlineStr">
        <is>
          <t>B5</t>
        </is>
      </c>
      <c r="B19" s="11" t="inlineStr">
        <is>
          <t>B5</t>
        </is>
      </c>
      <c r="C19" s="11" t="inlineStr">
        <is>
          <t>Part B 안전관리 실효성</t>
        </is>
      </c>
      <c r="D19" s="11" t="inlineStr">
        <is>
          <t>우리 현장에서는 제한된 인력으로도 현장 순찰과 위험 확인 업무를 효율적으로 수행한다.</t>
        </is>
      </c>
      <c r="E19" s="11" t="inlineStr">
        <is>
          <t>① 전혀 그렇지 않다=1 … ⑤ 매우 그렇다=5 (동그라미 숫자로 판정, 그 외=결측)</t>
        </is>
      </c>
      <c r="F19" s="11" t="inlineStr">
        <is>
          <t>Y4 순찰부담 경감</t>
        </is>
      </c>
      <c r="G19" s="11" t="inlineStr">
        <is>
          <t>종속변수(Y) 구성 문항</t>
        </is>
      </c>
      <c r="H19" s="11" t="n"/>
    </row>
    <row r="20" ht="32" customHeight="1">
      <c r="A20" s="11" t="inlineStr">
        <is>
          <t>B6</t>
        </is>
      </c>
      <c r="B20" s="11" t="inlineStr">
        <is>
          <t>B6</t>
        </is>
      </c>
      <c r="C20" s="11" t="inlineStr">
        <is>
          <t>Part B 안전관리 실효성</t>
        </is>
      </c>
      <c r="D20" s="11" t="inlineStr">
        <is>
          <t>우리 현장에서는 불필요한 확인 업무에 쫓기지 않고 실제 위험 대응에 집중한다.</t>
        </is>
      </c>
      <c r="E20" s="11" t="inlineStr">
        <is>
          <t>① 전혀 그렇지 않다=1 … ⑤ 매우 그렇다=5 (동그라미 숫자로 판정, 그 외=결측)</t>
        </is>
      </c>
      <c r="F20" s="11" t="inlineStr">
        <is>
          <t>Y4 순찰부담 경감</t>
        </is>
      </c>
      <c r="G20" s="11" t="inlineStr">
        <is>
          <t>종속변수(Y) 구성 문항</t>
        </is>
      </c>
      <c r="H20" s="11" t="n"/>
    </row>
    <row r="21" ht="32" customHeight="1">
      <c r="A21" s="11" t="inlineStr">
        <is>
          <t>B7</t>
        </is>
      </c>
      <c r="B21" s="11" t="inlineStr">
        <is>
          <t>B7</t>
        </is>
      </c>
      <c r="C21" s="11" t="inlineStr">
        <is>
          <t>Part B 안전관리 실효성</t>
        </is>
      </c>
      <c r="D21" s="11" t="inlineStr">
        <is>
          <t>우리 현장에서는 필요한 경우 시정·작업중지 등 통제 조치를 신속하게 시행한다.</t>
        </is>
      </c>
      <c r="E21" s="11" t="inlineStr">
        <is>
          <t>① 전혀 그렇지 않다=1 … ⑤ 매우 그렇다=5 (동그라미 숫자로 판정, 그 외=결측)</t>
        </is>
      </c>
      <c r="F21" s="11" t="inlineStr">
        <is>
          <t>Y5 위험 통제력</t>
        </is>
      </c>
      <c r="G21" s="11" t="inlineStr">
        <is>
          <t>종속변수(Y) 구성 문항</t>
        </is>
      </c>
      <c r="H21" s="11" t="n"/>
    </row>
    <row r="22" ht="32" customHeight="1">
      <c r="A22" s="11" t="inlineStr">
        <is>
          <t>B8</t>
        </is>
      </c>
      <c r="B22" s="11" t="inlineStr">
        <is>
          <t>B8</t>
        </is>
      </c>
      <c r="C22" s="11" t="inlineStr">
        <is>
          <t>Part B 안전관리 실효성</t>
        </is>
      </c>
      <c r="D22" s="11" t="inlineStr">
        <is>
          <t>우리 현장에서는 사고로 이어질 수 있는 위험요인을 실질적으로 통제한다.</t>
        </is>
      </c>
      <c r="E22" s="11" t="inlineStr">
        <is>
          <t>① 전혀 그렇지 않다=1 … ⑤ 매우 그렇다=5 (동그라미 숫자로 판정, 그 외=결측)</t>
        </is>
      </c>
      <c r="F22" s="11" t="inlineStr">
        <is>
          <t>Y5 위험 통제력</t>
        </is>
      </c>
      <c r="G22" s="11" t="inlineStr">
        <is>
          <t>종속변수(Y) 구성 문항</t>
        </is>
      </c>
      <c r="H22" s="11" t="n"/>
    </row>
    <row r="23" ht="32" customHeight="1">
      <c r="A23" s="11" t="inlineStr">
        <is>
          <t>C1</t>
        </is>
      </c>
      <c r="B23" s="11" t="inlineStr">
        <is>
          <t>C1</t>
        </is>
      </c>
      <c r="C23" s="11" t="inlineStr">
        <is>
          <t>Part C 예산 제약성</t>
        </is>
      </c>
      <c r="D23" s="11" t="inlineStr">
        <is>
          <t>우리 현장은 고가의 스마트 안전장비를 도입하기에는 예산이 부족하다.</t>
        </is>
      </c>
      <c r="E23" s="11" t="inlineStr">
        <is>
          <t>① 전혀 그렇지 않다=1 … ⑤ 매우 그렇다=5 (동그라미 숫자로 판정, 그 외=결측)</t>
        </is>
      </c>
      <c r="F23" s="11" t="n"/>
      <c r="G23" s="11" t="inlineStr">
        <is>
          <t>상호작용 변수(W) 구성 문항</t>
        </is>
      </c>
      <c r="H23" s="11" t="n"/>
    </row>
    <row r="24" ht="32" customHeight="1">
      <c r="A24" s="11" t="inlineStr">
        <is>
          <t>C2</t>
        </is>
      </c>
      <c r="B24" s="11" t="inlineStr">
        <is>
          <t>C2</t>
        </is>
      </c>
      <c r="C24" s="11" t="inlineStr">
        <is>
          <t>Part C 예산 제약성</t>
        </is>
      </c>
      <c r="D24" s="11" t="inlineStr">
        <is>
          <t>우리 현장은 스마트 안전장비나 관제 시스템 도입에 쓸 안전관리 예산이 부족하게 편성되어 있다.</t>
        </is>
      </c>
      <c r="E24" s="11" t="inlineStr">
        <is>
          <t>① 전혀 그렇지 않다=1 … ⑤ 매우 그렇다=5 (동그라미 숫자로 판정, 그 외=결측)</t>
        </is>
      </c>
      <c r="F24" s="11" t="n"/>
      <c r="G24" s="11" t="inlineStr">
        <is>
          <t>상호작용 변수(W) 구성 문항</t>
        </is>
      </c>
      <c r="H24" s="11" t="n"/>
    </row>
    <row r="25" ht="32" customHeight="1">
      <c r="A25" s="11" t="inlineStr">
        <is>
          <t>C3</t>
        </is>
      </c>
      <c r="B25" s="11" t="inlineStr">
        <is>
          <t>C3</t>
        </is>
      </c>
      <c r="C25" s="11" t="inlineStr">
        <is>
          <t>Part C 예산 제약성</t>
        </is>
      </c>
      <c r="D25" s="11" t="inlineStr">
        <is>
          <t>우리 현장은 산업안전보건관리비 계상 기준만으로는 스마트 안전장비나 관제 시스템을 도입하기 어렵다.</t>
        </is>
      </c>
      <c r="E25" s="11" t="inlineStr">
        <is>
          <t>① 전혀 그렇지 않다=1 … ⑤ 매우 그렇다=5 (동그라미 숫자로 판정, 그 외=결측)</t>
        </is>
      </c>
      <c r="F25" s="11" t="n"/>
      <c r="G25" s="11" t="inlineStr">
        <is>
          <t>상호작용 변수(W) 구성 문항</t>
        </is>
      </c>
      <c r="H25" s="11" t="n"/>
    </row>
    <row r="26" ht="32" customHeight="1">
      <c r="A26" s="11" t="inlineStr">
        <is>
          <t>C4</t>
        </is>
      </c>
      <c r="B26" s="11" t="inlineStr">
        <is>
          <t>C4</t>
        </is>
      </c>
      <c r="C26" s="11" t="inlineStr">
        <is>
          <t>Part C 예산 제약성</t>
        </is>
      </c>
      <c r="D26" s="11" t="inlineStr">
        <is>
          <t>우리 현장은 소속 기관인 본사나 발주청으로부터 스마트 안전장비나 관제 시스템 도입 예산을 별도로 지원받기 어렵다.</t>
        </is>
      </c>
      <c r="E26" s="11" t="inlineStr">
        <is>
          <t>① 전혀 그렇지 않다=1 … ⑤ 매우 그렇다=5 (동그라미 숫자로 판정, 그 외=결측)</t>
        </is>
      </c>
      <c r="F26" s="11" t="n"/>
      <c r="G26" s="11" t="inlineStr">
        <is>
          <t>상호작용 변수(W) 구성 문항</t>
        </is>
      </c>
      <c r="H26" s="11" t="n"/>
    </row>
    <row r="27" ht="32" customHeight="1">
      <c r="A27" s="11" t="inlineStr">
        <is>
          <t>D1</t>
        </is>
      </c>
      <c r="B27" s="11" t="inlineStr">
        <is>
          <t>D1</t>
        </is>
      </c>
      <c r="C27" s="11" t="inlineStr">
        <is>
          <t>Part D 시스템 특성(도입 전용)</t>
        </is>
      </c>
      <c r="D27" s="11" t="inlineStr">
        <is>
          <t>본 시스템은 일반 사무용 PC로 구동되어 고가 AI 서버 등 별도 장비에 대한 투자 부담이 적다.</t>
        </is>
      </c>
      <c r="E27" s="11" t="inlineStr">
        <is>
          <t>① 전혀 그렇지 않다=1 … ⑤ 매우 그렇다=5 (동그라미 숫자로 판정, 그 외=결측)</t>
        </is>
      </c>
      <c r="F27" s="11" t="inlineStr">
        <is>
          <t>D_sub1 인프라 범용성</t>
        </is>
      </c>
      <c r="G27" s="11" t="inlineStr">
        <is>
          <t>참고 변수: 시스템 특성 인식(도입 집단)</t>
        </is>
      </c>
      <c r="H27" s="11" t="inlineStr">
        <is>
          <t>가설 검정 미투입, 미도입 빈칸</t>
        </is>
      </c>
    </row>
    <row r="28" ht="32" customHeight="1">
      <c r="A28" s="11" t="inlineStr">
        <is>
          <t>D2</t>
        </is>
      </c>
      <c r="B28" s="11" t="inlineStr">
        <is>
          <t>D2</t>
        </is>
      </c>
      <c r="C28" s="11" t="inlineStr">
        <is>
          <t>Part D 시스템 특성(도입 전용)</t>
        </is>
      </c>
      <c r="D28" s="11" t="inlineStr">
        <is>
          <t>본 시스템은 제조사가 다른 기존 현장 카메라와도 호환되어 카메라를 교체하지 않고 도입할 수 있다.</t>
        </is>
      </c>
      <c r="E28" s="11" t="inlineStr">
        <is>
          <t>① 전혀 그렇지 않다=1 … ⑤ 매우 그렇다=5 (동그라미 숫자로 판정, 그 외=결측)</t>
        </is>
      </c>
      <c r="F28" s="11" t="inlineStr">
        <is>
          <t>D_sub1 인프라 범용성</t>
        </is>
      </c>
      <c r="G28" s="11" t="inlineStr">
        <is>
          <t>참고 변수: 시스템 특성 인식(도입 집단)</t>
        </is>
      </c>
      <c r="H28" s="11" t="inlineStr">
        <is>
          <t>가설 검정 미투입, 미도입 빈칸</t>
        </is>
      </c>
    </row>
    <row r="29" ht="32" customHeight="1">
      <c r="A29" s="11" t="inlineStr">
        <is>
          <t>D3</t>
        </is>
      </c>
      <c r="B29" s="11" t="inlineStr">
        <is>
          <t>D3</t>
        </is>
      </c>
      <c r="C29" s="11" t="inlineStr">
        <is>
          <t>Part D 시스템 특성(도입 전용)</t>
        </is>
      </c>
      <c r="D29" s="11" t="inlineStr">
        <is>
          <t>본 시스템은 짧은 시간에 알림이 몰려도 느려지거나 멈추지 않고 안정적으로 작동한다.</t>
        </is>
      </c>
      <c r="E29" s="11" t="inlineStr">
        <is>
          <t>① 전혀 그렇지 않다=1 … ⑤ 매우 그렇다=5 (동그라미 숫자로 판정, 그 외=결측)</t>
        </is>
      </c>
      <c r="F29" s="11" t="inlineStr">
        <is>
          <t>D_sub2 탐지·제어 안정성</t>
        </is>
      </c>
      <c r="G29" s="11" t="inlineStr">
        <is>
          <t>참고 변수: 시스템 특성 인식(도입 집단)</t>
        </is>
      </c>
      <c r="H29" s="11" t="inlineStr">
        <is>
          <t>가설 검정 미투입, 미도입 빈칸</t>
        </is>
      </c>
    </row>
    <row r="30" ht="32" customHeight="1">
      <c r="A30" s="11" t="inlineStr">
        <is>
          <t>D4</t>
        </is>
      </c>
      <c r="B30" s="11" t="inlineStr">
        <is>
          <t>D4</t>
        </is>
      </c>
      <c r="C30" s="11" t="inlineStr">
        <is>
          <t>Part D 시스템 특성(도입 전용)</t>
        </is>
      </c>
      <c r="D30" s="11" t="inlineStr">
        <is>
          <t>본 시스템은 통신 상태가 좋지 않은 현장에서도 위험 여부를 가려내는 기능이 안정적으로 작동한다.</t>
        </is>
      </c>
      <c r="E30" s="11" t="inlineStr">
        <is>
          <t>① 전혀 그렇지 않다=1 … ⑤ 매우 그렇다=5 (동그라미 숫자로 판정, 그 외=결측)</t>
        </is>
      </c>
      <c r="F30" s="11" t="inlineStr">
        <is>
          <t>D_sub2 탐지·제어 안정성</t>
        </is>
      </c>
      <c r="G30" s="11" t="inlineStr">
        <is>
          <t>참고 변수: 시스템 특성 인식(도입 집단)</t>
        </is>
      </c>
      <c r="H30" s="11" t="inlineStr">
        <is>
          <t>가설 검정 미투입, 미도입 빈칸</t>
        </is>
      </c>
    </row>
    <row r="31" ht="32" customHeight="1">
      <c r="A31" s="11" t="inlineStr">
        <is>
          <t>D5</t>
        </is>
      </c>
      <c r="B31" s="11" t="inlineStr">
        <is>
          <t>D5</t>
        </is>
      </c>
      <c r="C31" s="11" t="inlineStr">
        <is>
          <t>Part D 시스템 특성(도입 전용)</t>
        </is>
      </c>
      <c r="D31" s="11" t="inlineStr">
        <is>
          <t>본 시스템은 현장의 나무나 그림자 같은 배경을 사람이나 위험 요소로 잘못 알리는 일이 드물다.</t>
        </is>
      </c>
      <c r="E31" s="11" t="inlineStr">
        <is>
          <t>① 전혀 그렇지 않다=1 … ⑤ 매우 그렇다=5 (동그라미 숫자로 판정, 그 외=결측)</t>
        </is>
      </c>
      <c r="F31" s="11" t="inlineStr">
        <is>
          <t>D_sub3 오탐 필터링</t>
        </is>
      </c>
      <c r="G31" s="11" t="inlineStr">
        <is>
          <t>참고 변수: 시스템 특성 인식(도입 집단)</t>
        </is>
      </c>
      <c r="H31" s="11" t="inlineStr">
        <is>
          <t>가설 검정 미투입, 미도입 빈칸</t>
        </is>
      </c>
    </row>
    <row r="32" ht="32" customHeight="1">
      <c r="A32" s="11" t="inlineStr">
        <is>
          <t>D6</t>
        </is>
      </c>
      <c r="B32" s="11" t="inlineStr">
        <is>
          <t>D6</t>
        </is>
      </c>
      <c r="C32" s="11" t="inlineStr">
        <is>
          <t>Part D 시스템 특성(도입 전용)</t>
        </is>
      </c>
      <c r="D32" s="11" t="inlineStr">
        <is>
          <t>본 시스템은 정상 작업을 위험으로 잘못 알리는 일이 드물다.</t>
        </is>
      </c>
      <c r="E32" s="11" t="inlineStr">
        <is>
          <t>① 전혀 그렇지 않다=1 … ⑤ 매우 그렇다=5 (동그라미 숫자로 판정, 그 외=결측)</t>
        </is>
      </c>
      <c r="F32" s="11" t="inlineStr">
        <is>
          <t>D_sub3 오탐 필터링</t>
        </is>
      </c>
      <c r="G32" s="11" t="inlineStr">
        <is>
          <t>참고 변수: 시스템 특성 인식(도입 집단)</t>
        </is>
      </c>
      <c r="H32" s="11" t="inlineStr">
        <is>
          <t>가설 검정 미투입, 미도입 빈칸</t>
        </is>
      </c>
    </row>
    <row r="33" ht="32" customHeight="1">
      <c r="A33" s="11" t="inlineStr">
        <is>
          <t>D7</t>
        </is>
      </c>
      <c r="B33" s="11" t="inlineStr">
        <is>
          <t>D7</t>
        </is>
      </c>
      <c r="C33" s="11" t="inlineStr">
        <is>
          <t>Part D 시스템 특성(도입 전용)</t>
        </is>
      </c>
      <c r="D33" s="11" t="inlineStr">
        <is>
          <t>위험 상황이 발생하면 위험 요약과 이미지가 모바일 메신저로 신속하게 전달된다.</t>
        </is>
      </c>
      <c r="E33" s="11" t="inlineStr">
        <is>
          <t>① 전혀 그렇지 않다=1 … ⑤ 매우 그렇다=5 (동그라미 숫자로 판정, 그 외=결측)</t>
        </is>
      </c>
      <c r="F33" s="11" t="inlineStr">
        <is>
          <t>D_sub4 알림 전파 즉각성</t>
        </is>
      </c>
      <c r="G33" s="11" t="inlineStr">
        <is>
          <t>참고 변수: 시스템 특성 인식(도입 집단)</t>
        </is>
      </c>
      <c r="H33" s="11" t="inlineStr">
        <is>
          <t>가설 검정 미투입, 미도입 빈칸</t>
        </is>
      </c>
    </row>
    <row r="34" ht="32" customHeight="1">
      <c r="A34" s="11" t="inlineStr">
        <is>
          <t>D8</t>
        </is>
      </c>
      <c r="B34" s="11" t="inlineStr">
        <is>
          <t>D8</t>
        </is>
      </c>
      <c r="C34" s="11" t="inlineStr">
        <is>
          <t>Part D 시스템 특성(도입 전용)</t>
        </is>
      </c>
      <c r="D34" s="11" t="inlineStr">
        <is>
          <t>모바일 메신저로 받은 알림만으로도 현장 상황을 쉽게 파악할 수 있다.</t>
        </is>
      </c>
      <c r="E34" s="11" t="inlineStr">
        <is>
          <t>① 전혀 그렇지 않다=1 … ⑤ 매우 그렇다=5 (동그라미 숫자로 판정, 그 외=결측)</t>
        </is>
      </c>
      <c r="F34" s="11" t="inlineStr">
        <is>
          <t>D_sub4 알림 전파 즉각성</t>
        </is>
      </c>
      <c r="G34" s="11" t="inlineStr">
        <is>
          <t>참고 변수: 시스템 특성 인식(도입 집단)</t>
        </is>
      </c>
      <c r="H34" s="11" t="inlineStr">
        <is>
          <t>가설 검정 미투입, 미도입 빈칸</t>
        </is>
      </c>
    </row>
    <row r="35" ht="32" customHeight="1">
      <c r="A35" s="11" t="inlineStr">
        <is>
          <t>E1</t>
        </is>
      </c>
      <c r="B35" s="11" t="inlineStr">
        <is>
          <t>E1</t>
        </is>
      </c>
      <c r="C35" s="11" t="inlineStr">
        <is>
          <t>Part E 경보 피로도(도입 전용)</t>
        </is>
      </c>
      <c r="D35" s="11" t="inlineStr">
        <is>
          <t>본 시스템이 위험이 아닌 상황을 걸러 주어 잦은 알림 확인에 따른 스트레스가 줄었다.</t>
        </is>
      </c>
      <c r="E35" s="11" t="inlineStr">
        <is>
          <t>① 전혀 그렇지 않다=1 … ⑤ 매우 그렇다=5 (동그라미 숫자로 판정, 그 외=결측)</t>
        </is>
      </c>
      <c r="F35" s="11" t="inlineStr">
        <is>
          <t>E_total</t>
        </is>
      </c>
      <c r="G35" s="11" t="inlineStr">
        <is>
          <t>참고 변수: 경보 피로도 완화 인식(도입 집단)</t>
        </is>
      </c>
      <c r="H35" s="11" t="inlineStr">
        <is>
          <t>가설 검정 미투입, 미도입 빈칸</t>
        </is>
      </c>
    </row>
    <row r="36" ht="32" customHeight="1">
      <c r="A36" s="11" t="inlineStr">
        <is>
          <t>E2</t>
        </is>
      </c>
      <c r="B36" s="11" t="inlineStr">
        <is>
          <t>E2</t>
        </is>
      </c>
      <c r="C36" s="11" t="inlineStr">
        <is>
          <t>Part E 경보 피로도(도입 전용)</t>
        </is>
      </c>
      <c r="D36" s="11" t="inlineStr">
        <is>
          <t>불필요한 알림을 확인하는 시간이 줄어 핵심 업무에 더 집중하게 되었다.</t>
        </is>
      </c>
      <c r="E36" s="11" t="inlineStr">
        <is>
          <t>① 전혀 그렇지 않다=1 … ⑤ 매우 그렇다=5 (동그라미 숫자로 판정, 그 외=결측)</t>
        </is>
      </c>
      <c r="F36" s="11" t="inlineStr">
        <is>
          <t>E_total</t>
        </is>
      </c>
      <c r="G36" s="11" t="inlineStr">
        <is>
          <t>참고 변수: 경보 피로도 완화 인식(도입 집단)</t>
        </is>
      </c>
      <c r="H36" s="11" t="inlineStr">
        <is>
          <t>가설 검정 미투입, 미도입 빈칸</t>
        </is>
      </c>
    </row>
    <row r="37" ht="32" customHeight="1">
      <c r="A37" s="11" t="inlineStr">
        <is>
          <t>E3</t>
        </is>
      </c>
      <c r="B37" s="11" t="inlineStr">
        <is>
          <t>E3</t>
        </is>
      </c>
      <c r="C37" s="11" t="inlineStr">
        <is>
          <t>Part E 경보 피로도(도입 전용)</t>
        </is>
      </c>
      <c r="D37" s="11" t="inlineStr">
        <is>
          <t>알림이 오면 ‘또 잘못 온 알림’으로 여겨 무시하기보다 바로 확인하는 경우가 늘었다.</t>
        </is>
      </c>
      <c r="E37" s="11" t="inlineStr">
        <is>
          <t>① 전혀 그렇지 않다=1 … ⑤ 매우 그렇다=5 (동그라미 숫자로 판정, 그 외=결측)</t>
        </is>
      </c>
      <c r="F37" s="11" t="inlineStr">
        <is>
          <t>E_total</t>
        </is>
      </c>
      <c r="G37" s="11" t="inlineStr">
        <is>
          <t>참고 변수: 경보 피로도 완화 인식(도입 집단)</t>
        </is>
      </c>
      <c r="H37" s="11" t="inlineStr">
        <is>
          <t>가설 검정 미투입, 미도입 빈칸</t>
        </is>
      </c>
    </row>
    <row r="38" ht="32" customHeight="1">
      <c r="A38" s="11" t="inlineStr">
        <is>
          <t>E4</t>
        </is>
      </c>
      <c r="B38" s="11" t="inlineStr">
        <is>
          <t>E4</t>
        </is>
      </c>
      <c r="C38" s="11" t="inlineStr">
        <is>
          <t>Part E 경보 피로도(도입 전용)</t>
        </is>
      </c>
      <c r="D38" s="11" t="inlineStr">
        <is>
          <t>본 시스템 도입 이후 알림으로 인한 피로감이 줄었다.</t>
        </is>
      </c>
      <c r="E38" s="11" t="inlineStr">
        <is>
          <t>① 전혀 그렇지 않다=1 … ⑤ 매우 그렇다=5 (동그라미 숫자로 판정, 그 외=결측)</t>
        </is>
      </c>
      <c r="F38" s="11" t="inlineStr">
        <is>
          <t>E_total</t>
        </is>
      </c>
      <c r="G38" s="11" t="inlineStr">
        <is>
          <t>참고 변수: 경보 피로도 완화 인식(도입 집단)</t>
        </is>
      </c>
      <c r="H38" s="11" t="inlineStr">
        <is>
          <t>가설 검정 미투입, 미도입 빈칸</t>
        </is>
      </c>
    </row>
    <row r="39" ht="32" customHeight="1">
      <c r="A39" s="11" t="inlineStr">
        <is>
          <t>Y_total</t>
        </is>
      </c>
      <c r="B39" s="11" t="inlineStr">
        <is>
          <t>Y_total</t>
        </is>
      </c>
      <c r="C39" s="11" t="inlineStr">
        <is>
          <t>파생 변수</t>
        </is>
      </c>
      <c r="D39" s="11" t="inlineStr">
        <is>
          <t>안전관리 실효성 전체 (B-1·B-2·B-3·B-4·B-5·B-6·B-7·B-8)</t>
        </is>
      </c>
      <c r="E39" s="11" t="inlineStr">
        <is>
          <t>mean(B1, B2, B3, B4, B5, B6, B7, B8) — 8문항 전부 응답 시에만 산출, 아니면 빈칸</t>
        </is>
      </c>
      <c r="F39" s="11" t="inlineStr">
        <is>
          <t>안전관리 실효성 전체</t>
        </is>
      </c>
      <c r="G39" s="11" t="inlineStr">
        <is>
          <t>종속변수(Y) — H1·H2</t>
        </is>
      </c>
      <c r="H39" s="11" t="inlineStr">
        <is>
          <t>영역 가중 12.5·12.5·25·25·25%</t>
        </is>
      </c>
    </row>
    <row r="40" ht="32" customHeight="1">
      <c r="A40" s="11" t="inlineStr">
        <is>
          <t>Y1</t>
        </is>
      </c>
      <c r="B40" s="11" t="inlineStr">
        <is>
          <t>Y1_조기인지</t>
        </is>
      </c>
      <c r="C40" s="11" t="inlineStr">
        <is>
          <t>파생 변수</t>
        </is>
      </c>
      <c r="D40" s="11" t="inlineStr">
        <is>
          <t>조기인지 (B-1)</t>
        </is>
      </c>
      <c r="E40" s="11" t="inlineStr">
        <is>
          <t>mean(B1) — 1문항 전부 응답 시에만 산출, 아니면 빈칸</t>
        </is>
      </c>
      <c r="F40" s="11" t="inlineStr">
        <is>
          <t>조기인지</t>
        </is>
      </c>
      <c r="G40" s="11" t="inlineStr">
        <is>
          <t>종속변수 하위요인 — 영역별 분석(&lt;표 5-7&gt;, Holm)</t>
        </is>
      </c>
      <c r="H40" s="11" t="n"/>
    </row>
    <row r="41" ht="32" customHeight="1">
      <c r="A41" s="11" t="inlineStr">
        <is>
          <t>Y2</t>
        </is>
      </c>
      <c r="B41" s="11" t="inlineStr">
        <is>
          <t>Y2_대응신속성</t>
        </is>
      </c>
      <c r="C41" s="11" t="inlineStr">
        <is>
          <t>파생 변수</t>
        </is>
      </c>
      <c r="D41" s="11" t="inlineStr">
        <is>
          <t>대응 신속성 (B-2)</t>
        </is>
      </c>
      <c r="E41" s="11" t="inlineStr">
        <is>
          <t>mean(B2) — 1문항 전부 응답 시에만 산출, 아니면 빈칸</t>
        </is>
      </c>
      <c r="F41" s="11" t="inlineStr">
        <is>
          <t>대응 신속성</t>
        </is>
      </c>
      <c r="G41" s="11" t="inlineStr">
        <is>
          <t>종속변수 하위요인 — 영역별 분석(&lt;표 5-7&gt;, Holm)</t>
        </is>
      </c>
      <c r="H41" s="11" t="n"/>
    </row>
    <row r="42" ht="32" customHeight="1">
      <c r="A42" s="11" t="inlineStr">
        <is>
          <t>Y3</t>
        </is>
      </c>
      <c r="B42" s="11" t="inlineStr">
        <is>
          <t>Y3_원격파악</t>
        </is>
      </c>
      <c r="C42" s="11" t="inlineStr">
        <is>
          <t>파생 변수</t>
        </is>
      </c>
      <c r="D42" s="11" t="inlineStr">
        <is>
          <t>원격 파악 (B-3·B-4)</t>
        </is>
      </c>
      <c r="E42" s="11" t="inlineStr">
        <is>
          <t>mean(B3, B4) — 2문항 전부 응답 시에만 산출, 아니면 빈칸</t>
        </is>
      </c>
      <c r="F42" s="11" t="inlineStr">
        <is>
          <t>원격 파악</t>
        </is>
      </c>
      <c r="G42" s="11" t="inlineStr">
        <is>
          <t>종속변수 하위요인 — 영역별 분석(&lt;표 5-7&gt;, Holm)</t>
        </is>
      </c>
      <c r="H42" s="11" t="n"/>
    </row>
    <row r="43" ht="32" customHeight="1">
      <c r="A43" s="11" t="inlineStr">
        <is>
          <t>Y4</t>
        </is>
      </c>
      <c r="B43" s="11" t="inlineStr">
        <is>
          <t>Y4_순찰부담경감</t>
        </is>
      </c>
      <c r="C43" s="11" t="inlineStr">
        <is>
          <t>파생 변수</t>
        </is>
      </c>
      <c r="D43" s="11" t="inlineStr">
        <is>
          <t>순찰부담 경감 (B-5·B-6)</t>
        </is>
      </c>
      <c r="E43" s="11" t="inlineStr">
        <is>
          <t>mean(B5, B6) — 2문항 전부 응답 시에만 산출, 아니면 빈칸</t>
        </is>
      </c>
      <c r="F43" s="11" t="inlineStr">
        <is>
          <t>순찰부담 경감</t>
        </is>
      </c>
      <c r="G43" s="11" t="inlineStr">
        <is>
          <t>종속변수 하위요인 — 영역별 분석(&lt;표 5-7&gt;, Holm)</t>
        </is>
      </c>
      <c r="H43" s="11" t="n"/>
    </row>
    <row r="44" ht="32" customHeight="1">
      <c r="A44" s="11" t="inlineStr">
        <is>
          <t>Y5</t>
        </is>
      </c>
      <c r="B44" s="11" t="inlineStr">
        <is>
          <t>Y5_위험통제력</t>
        </is>
      </c>
      <c r="C44" s="11" t="inlineStr">
        <is>
          <t>파생 변수</t>
        </is>
      </c>
      <c r="D44" s="11" t="inlineStr">
        <is>
          <t>위험 통제력 (B-7·B-8)</t>
        </is>
      </c>
      <c r="E44" s="11" t="inlineStr">
        <is>
          <t>mean(B7, B8) — 2문항 전부 응답 시에만 산출, 아니면 빈칸</t>
        </is>
      </c>
      <c r="F44" s="11" t="inlineStr">
        <is>
          <t>위험 통제력</t>
        </is>
      </c>
      <c r="G44" s="11" t="inlineStr">
        <is>
          <t>종속변수 하위요인 — 영역별 분석(&lt;표 5-7&gt;, Holm)</t>
        </is>
      </c>
      <c r="H44" s="11" t="n"/>
    </row>
    <row r="45" ht="32" customHeight="1">
      <c r="A45" s="11" t="inlineStr">
        <is>
          <t>W</t>
        </is>
      </c>
      <c r="B45" s="11" t="inlineStr">
        <is>
          <t>W_예산제약</t>
        </is>
      </c>
      <c r="C45" s="11" t="inlineStr">
        <is>
          <t>파생 변수</t>
        </is>
      </c>
      <c r="D45" s="11" t="inlineStr">
        <is>
          <t>안전관리 예산 제약성 (C-1·C-2·C-3·C-4)</t>
        </is>
      </c>
      <c r="E45" s="11" t="inlineStr">
        <is>
          <t>mean(C1, C2, C3, C4) — 4문항 전부 응답 시에만 산출, 아니면 빈칸</t>
        </is>
      </c>
      <c r="F45" s="11" t="inlineStr">
        <is>
          <t>안전관리 예산 제약성</t>
        </is>
      </c>
      <c r="G45" s="11" t="inlineStr">
        <is>
          <t>상호작용 변수(W) — H2</t>
        </is>
      </c>
      <c r="H45" s="11" t="inlineStr">
        <is>
          <t>분석 시 완전사례 평균으로 중심화(Task B)</t>
        </is>
      </c>
    </row>
    <row r="46" ht="32" customHeight="1">
      <c r="A46" s="11" t="inlineStr">
        <is>
          <t>D_sub1</t>
        </is>
      </c>
      <c r="B46" s="11" t="inlineStr">
        <is>
          <t>D_sub1_인프라범용성</t>
        </is>
      </c>
      <c r="C46" s="11" t="inlineStr">
        <is>
          <t>파생 변수</t>
        </is>
      </c>
      <c r="D46" s="11" t="inlineStr">
        <is>
          <t>인프라 범용성 (D-1·D-2)</t>
        </is>
      </c>
      <c r="E46" s="11" t="inlineStr">
        <is>
          <t>mean(D1, D2) — 2문항 전부 응답 시에만 산출, 아니면 빈칸; 도입 집단만(미도입 빈칸)</t>
        </is>
      </c>
      <c r="F46" s="11" t="inlineStr">
        <is>
          <t>인프라 범용성</t>
        </is>
      </c>
      <c r="G46" s="11" t="inlineStr">
        <is>
          <t>참고 변수(도입 집단 기술통계)</t>
        </is>
      </c>
      <c r="H46" s="11" t="inlineStr">
        <is>
          <t>가설 검정 미투입</t>
        </is>
      </c>
    </row>
    <row r="47" ht="32" customHeight="1">
      <c r="A47" s="11" t="inlineStr">
        <is>
          <t>D_sub2</t>
        </is>
      </c>
      <c r="B47" s="11" t="inlineStr">
        <is>
          <t>D_sub2_탐지제어안정성</t>
        </is>
      </c>
      <c r="C47" s="11" t="inlineStr">
        <is>
          <t>파생 변수</t>
        </is>
      </c>
      <c r="D47" s="11" t="inlineStr">
        <is>
          <t>탐지·제어 안정성 (D-3·D-4)</t>
        </is>
      </c>
      <c r="E47" s="11" t="inlineStr">
        <is>
          <t>mean(D3, D4) — 2문항 전부 응답 시에만 산출, 아니면 빈칸; 도입 집단만(미도입 빈칸)</t>
        </is>
      </c>
      <c r="F47" s="11" t="inlineStr">
        <is>
          <t>탐지·제어 안정성</t>
        </is>
      </c>
      <c r="G47" s="11" t="inlineStr">
        <is>
          <t>참고 변수(도입 집단 기술통계)</t>
        </is>
      </c>
      <c r="H47" s="11" t="inlineStr">
        <is>
          <t>가설 검정 미투입</t>
        </is>
      </c>
    </row>
    <row r="48" ht="32" customHeight="1">
      <c r="A48" s="11" t="inlineStr">
        <is>
          <t>D_sub3</t>
        </is>
      </c>
      <c r="B48" s="11" t="inlineStr">
        <is>
          <t>D_sub3_오탐필터링</t>
        </is>
      </c>
      <c r="C48" s="11" t="inlineStr">
        <is>
          <t>파생 변수</t>
        </is>
      </c>
      <c r="D48" s="11" t="inlineStr">
        <is>
          <t>오탐 필터링 (D-5·D-6)</t>
        </is>
      </c>
      <c r="E48" s="11" t="inlineStr">
        <is>
          <t>mean(D5, D6) — 2문항 전부 응답 시에만 산출, 아니면 빈칸; 도입 집단만(미도입 빈칸)</t>
        </is>
      </c>
      <c r="F48" s="11" t="inlineStr">
        <is>
          <t>오탐 필터링</t>
        </is>
      </c>
      <c r="G48" s="11" t="inlineStr">
        <is>
          <t>참고 변수(도입 집단 기술통계)</t>
        </is>
      </c>
      <c r="H48" s="11" t="inlineStr">
        <is>
          <t>가설 검정 미투입</t>
        </is>
      </c>
    </row>
    <row r="49" ht="32" customHeight="1">
      <c r="A49" s="11" t="inlineStr">
        <is>
          <t>D_sub4</t>
        </is>
      </c>
      <c r="B49" s="11" t="inlineStr">
        <is>
          <t>D_sub4_알림전파즉각성</t>
        </is>
      </c>
      <c r="C49" s="11" t="inlineStr">
        <is>
          <t>파생 변수</t>
        </is>
      </c>
      <c r="D49" s="11" t="inlineStr">
        <is>
          <t>알림 전파 즉각성 (D-7·D-8)</t>
        </is>
      </c>
      <c r="E49" s="11" t="inlineStr">
        <is>
          <t>mean(D7, D8) — 2문항 전부 응답 시에만 산출, 아니면 빈칸; 도입 집단만(미도입 빈칸)</t>
        </is>
      </c>
      <c r="F49" s="11" t="inlineStr">
        <is>
          <t>알림 전파 즉각성</t>
        </is>
      </c>
      <c r="G49" s="11" t="inlineStr">
        <is>
          <t>참고 변수(도입 집단 기술통계)</t>
        </is>
      </c>
      <c r="H49" s="11" t="inlineStr">
        <is>
          <t>가설 검정 미투입</t>
        </is>
      </c>
    </row>
    <row r="50" ht="32" customHeight="1">
      <c r="A50" s="11" t="inlineStr">
        <is>
          <t>D_total</t>
        </is>
      </c>
      <c r="B50" s="11" t="inlineStr">
        <is>
          <t>D_total</t>
        </is>
      </c>
      <c r="C50" s="11" t="inlineStr">
        <is>
          <t>파생 변수</t>
        </is>
      </c>
      <c r="D50" s="11" t="inlineStr">
        <is>
          <t>시스템 특성 인식 전체 (D-1·D-2·D-3·D-4·D-5·D-6·D-7·D-8)</t>
        </is>
      </c>
      <c r="E50" s="11" t="inlineStr">
        <is>
          <t>mean(D1, D2, D3, D4, D5, D6, D7, D8) — 8문항 전부 응답 시에만 산출, 아니면 빈칸; 도입 집단만(미도입 빈칸)</t>
        </is>
      </c>
      <c r="F50" s="11" t="inlineStr">
        <is>
          <t>시스템 특성 인식 전체</t>
        </is>
      </c>
      <c r="G50" s="11" t="inlineStr">
        <is>
          <t>참고 변수(도입 집단 기술통계)</t>
        </is>
      </c>
      <c r="H50" s="11" t="inlineStr">
        <is>
          <t>가설 검정 미투입</t>
        </is>
      </c>
    </row>
    <row r="51" ht="32" customHeight="1">
      <c r="A51" s="11" t="inlineStr">
        <is>
          <t>E_total</t>
        </is>
      </c>
      <c r="B51" s="11" t="inlineStr">
        <is>
          <t>E_total</t>
        </is>
      </c>
      <c r="C51" s="11" t="inlineStr">
        <is>
          <t>파생 변수</t>
        </is>
      </c>
      <c r="D51" s="11" t="inlineStr">
        <is>
          <t>경보 피로도 완화 인식 (E-1·E-2·E-3·E-4)</t>
        </is>
      </c>
      <c r="E51" s="11" t="inlineStr">
        <is>
          <t>mean(E1, E2, E3, E4) — 4문항 전부 응답 시에만 산출, 아니면 빈칸; 도입 집단만(미도입 빈칸)</t>
        </is>
      </c>
      <c r="F51" s="11" t="inlineStr">
        <is>
          <t>경보 피로도 완화 인식</t>
        </is>
      </c>
      <c r="G51" s="11" t="inlineStr">
        <is>
          <t>참고 변수(도입 집단 기술통계)</t>
        </is>
      </c>
      <c r="H51" s="11" t="inlineStr">
        <is>
          <t>가설 검정 미투입</t>
        </is>
      </c>
    </row>
    <row r="52" ht="32" customHeight="1">
      <c r="A52" s="11" t="inlineStr">
        <is>
          <t>sys_path</t>
        </is>
      </c>
      <c r="B52" s="11" t="inlineStr">
        <is>
          <t>sys_path</t>
        </is>
      </c>
      <c r="C52" s="11" t="inlineStr">
        <is>
          <t>파생 변수</t>
        </is>
      </c>
      <c r="D52" s="11" t="inlineStr">
        <is>
          <t>시스템 경로 작동(부록1·05장 &lt;표 5-1&gt; 주 규칙)</t>
        </is>
      </c>
      <c r="E52" s="11" t="inlineStr">
        <is>
          <t>도입 집단: A7∈{3,4} 그리고 A8=3 → 1, 그 외 0; 미도입 빈칸. A7=5(기타)는 0 [확정 필요]</t>
        </is>
      </c>
      <c r="F52" s="11" t="n"/>
      <c r="G52" s="11" t="inlineStr">
        <is>
          <t>민감도 분석용(&lt;표 5-6&gt; sys_path=0 제외 재추정)</t>
        </is>
      </c>
      <c r="H52" s="11" t="inlineStr">
        <is>
          <t>[확정 필요: A-7 ⑤ 판정 기준]</t>
        </is>
      </c>
    </row>
    <row r="53">
      <c r="A53" s="11" t="inlineStr">
        <is>
          <t>include</t>
        </is>
      </c>
      <c r="B53" s="11" t="inlineStr">
        <is>
          <t>include</t>
        </is>
      </c>
      <c r="C53" s="11" t="inlineStr">
        <is>
          <t>관리 변수</t>
        </is>
      </c>
      <c r="D53" s="11" t="inlineStr">
        <is>
          <t>분석 포함 여부</t>
        </is>
      </c>
      <c r="E53" s="11" t="inlineStr">
        <is>
          <t>1=분석 포함, 0=제외(시험 응답 2건)</t>
        </is>
      </c>
      <c r="F53" s="11" t="n"/>
      <c r="G53" s="11" t="inlineStr">
        <is>
          <t>표본 선택(jamovi에서 include=1 필터)</t>
        </is>
      </c>
      <c r="H53" s="11" t="n"/>
    </row>
    <row r="54">
      <c r="A54" s="11" t="inlineStr">
        <is>
          <t>exclude_reason</t>
        </is>
      </c>
      <c r="B54" s="11" t="inlineStr">
        <is>
          <t>exclude_reason</t>
        </is>
      </c>
      <c r="C54" s="11" t="inlineStr">
        <is>
          <t>관리 변수</t>
        </is>
      </c>
      <c r="D54" s="11" t="inlineStr">
        <is>
          <t>제외 사유</t>
        </is>
      </c>
      <c r="E54" s="11" t="inlineStr">
        <is>
          <t>include=0의 사유</t>
        </is>
      </c>
      <c r="F54" s="11" t="n"/>
      <c r="G54" s="11" t="inlineStr">
        <is>
          <t>표본 선택(jamovi에서 include=1 필터)</t>
        </is>
      </c>
      <c r="H54" s="11" t="n"/>
    </row>
  </sheetData>
  <autoFilter ref="A1:H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30" customWidth="1" min="1" max="1"/>
    <col width="34" customWidth="1" min="2" max="2"/>
    <col width="10" customWidth="1" min="3" max="4"/>
    <col width="12" customWidth="1" min="5" max="5"/>
    <col width="10" customWidth="1" min="6" max="8"/>
    <col width="8" customWidth="1" min="10" max="10"/>
    <col width="10" customWidth="1" min="11" max="12"/>
  </cols>
  <sheetData>
    <row r="1" ht="17.5" customHeight="1">
      <c r="A1" s="1" t="inlineStr">
        <is>
          <t>빈도·기술통계 — 코딩자료 참조 수식, include=1만 집계 (집단: 명부 대조 전 자기보고 분기값)</t>
        </is>
      </c>
      <c r="K1" s="2" t="inlineStr">
        <is>
          <t>D함수 조건 범위(수정 금지)</t>
        </is>
      </c>
    </row>
    <row r="2">
      <c r="A2" s="12" t="inlineStr">
        <is>
          <t>표 5-1 패널 A — 범주형 특성의 빈도와 비율</t>
        </is>
      </c>
      <c r="J2" s="2" t="inlineStr">
        <is>
          <t>도입</t>
        </is>
      </c>
      <c r="K2" s="13" t="inlineStr">
        <is>
          <t>group</t>
        </is>
      </c>
      <c r="L2" s="13" t="inlineStr">
        <is>
          <t>include</t>
        </is>
      </c>
    </row>
    <row r="3">
      <c r="A3" s="14" t="inlineStr">
        <is>
          <t>비율 분모 = 항목별 유효 응답. 각 변수 아래 회색 행: 유효 응답 n과 결측 수.</t>
        </is>
      </c>
      <c r="K3" s="15" t="n">
        <v>1</v>
      </c>
      <c r="L3" s="15" t="n">
        <v>1</v>
      </c>
    </row>
    <row r="4">
      <c r="A4" s="4" t="inlineStr">
        <is>
          <t>구분</t>
        </is>
      </c>
      <c r="B4" s="4" t="inlineStr">
        <is>
          <t>항목</t>
        </is>
      </c>
      <c r="C4" s="4" t="inlineStr">
        <is>
          <t>도입 n</t>
        </is>
      </c>
      <c r="D4" s="4" t="inlineStr">
        <is>
          <t>도입 %</t>
        </is>
      </c>
      <c r="E4" s="4" t="inlineStr">
        <is>
          <t>미도입 n</t>
        </is>
      </c>
      <c r="F4" s="4" t="inlineStr">
        <is>
          <t>미도입 %</t>
        </is>
      </c>
      <c r="G4" s="4" t="inlineStr">
        <is>
          <t>전체 n</t>
        </is>
      </c>
      <c r="H4" s="4" t="inlineStr">
        <is>
          <t>전체 %</t>
        </is>
      </c>
    </row>
    <row r="5">
      <c r="A5" s="16" t="inlineStr">
        <is>
          <t>소속 구분</t>
        </is>
      </c>
      <c r="B5" s="16" t="inlineStr">
        <is>
          <t>시공사</t>
        </is>
      </c>
      <c r="C5" s="9">
        <f>COUNTIFS(코딩자료!$C$2:$C$74,1,코딩자료!$BA$2:$BA$74,1,코딩자료!$D$2:$D$74,1)</f>
        <v/>
      </c>
      <c r="D5" s="27">
        <f>IFERROR(C5/C7,"")</f>
        <v/>
      </c>
      <c r="E5" s="9">
        <f>COUNTIFS(코딩자료!$C$2:$C$74,0,코딩자료!$BA$2:$BA$74,1,코딩자료!$D$2:$D$74,1)</f>
        <v/>
      </c>
      <c r="F5" s="27">
        <f>IFERROR(E5/E7,"")</f>
        <v/>
      </c>
      <c r="G5" s="9">
        <f>COUNTIFS(코딩자료!$BA$2:$BA$74,1,코딩자료!$D$2:$D$74,1)</f>
        <v/>
      </c>
      <c r="H5" s="27">
        <f>IFERROR(G5/G7,"")</f>
        <v/>
      </c>
      <c r="J5" s="2" t="inlineStr">
        <is>
          <t>미도입</t>
        </is>
      </c>
      <c r="K5" s="13" t="inlineStr">
        <is>
          <t>group</t>
        </is>
      </c>
      <c r="L5" s="13" t="inlineStr">
        <is>
          <t>include</t>
        </is>
      </c>
    </row>
    <row r="6">
      <c r="A6" s="16" t="n"/>
      <c r="B6" s="16" t="inlineStr">
        <is>
          <t>발주청(공사감독·감리원 포함)</t>
        </is>
      </c>
      <c r="C6" s="9">
        <f>COUNTIFS(코딩자료!$C$2:$C$74,1,코딩자료!$BA$2:$BA$74,1,코딩자료!$D$2:$D$74,2)</f>
        <v/>
      </c>
      <c r="D6" s="27">
        <f>IFERROR(C6/C7,"")</f>
        <v/>
      </c>
      <c r="E6" s="9">
        <f>COUNTIFS(코딩자료!$C$2:$C$74,0,코딩자료!$BA$2:$BA$74,1,코딩자료!$D$2:$D$74,2)</f>
        <v/>
      </c>
      <c r="F6" s="27">
        <f>IFERROR(E6/E7,"")</f>
        <v/>
      </c>
      <c r="G6" s="9">
        <f>COUNTIFS(코딩자료!$BA$2:$BA$74,1,코딩자료!$D$2:$D$74,2)</f>
        <v/>
      </c>
      <c r="H6" s="27">
        <f>IFERROR(G6/G7,"")</f>
        <v/>
      </c>
      <c r="K6" s="15" t="n">
        <v>0</v>
      </c>
      <c r="L6" s="15" t="n">
        <v>1</v>
      </c>
    </row>
    <row r="7">
      <c r="A7" s="18" t="n"/>
      <c r="B7" s="18" t="inlineStr">
        <is>
          <t>유효 응답(분모)</t>
        </is>
      </c>
      <c r="C7" s="19">
        <f>COUNTIFS(코딩자료!$C$2:$C$74,1,코딩자료!$BA$2:$BA$74,1,코딩자료!$D$2:$D$74,"&lt;&gt;")</f>
        <v/>
      </c>
      <c r="D7" s="28">
        <f>COUNTIFS(코딩자료!$C$2:$C$74,1,코딩자료!$BA$2:$BA$74,1)-C7</f>
        <v/>
      </c>
      <c r="E7" s="19">
        <f>COUNTIFS(코딩자료!$C$2:$C$74,0,코딩자료!$BA$2:$BA$74,1,코딩자료!$D$2:$D$74,"&lt;&gt;")</f>
        <v/>
      </c>
      <c r="F7" s="28">
        <f>COUNTIFS(코딩자료!$C$2:$C$74,0,코딩자료!$BA$2:$BA$74,1)-E7</f>
        <v/>
      </c>
      <c r="G7" s="19">
        <f>COUNTIFS(코딩자료!$BA$2:$BA$74,1,코딩자료!$D$2:$D$74,"&lt;&gt;")</f>
        <v/>
      </c>
      <c r="H7" s="28">
        <f>COUNTIFS(코딩자료!$BA$2:$BA$74,1)-G7</f>
        <v/>
      </c>
    </row>
    <row r="8">
      <c r="A8" s="16" t="inlineStr">
        <is>
          <t>성별</t>
        </is>
      </c>
      <c r="B8" s="16" t="inlineStr">
        <is>
          <t>남성</t>
        </is>
      </c>
      <c r="C8" s="9">
        <f>COUNTIFS(코딩자료!$C$2:$C$74,1,코딩자료!$BA$2:$BA$74,1,코딩자료!$E$2:$E$74,1)</f>
        <v/>
      </c>
      <c r="D8" s="27">
        <f>IFERROR(C8/C10,"")</f>
        <v/>
      </c>
      <c r="E8" s="9">
        <f>COUNTIFS(코딩자료!$C$2:$C$74,0,코딩자료!$BA$2:$BA$74,1,코딩자료!$E$2:$E$74,1)</f>
        <v/>
      </c>
      <c r="F8" s="27">
        <f>IFERROR(E8/E10,"")</f>
        <v/>
      </c>
      <c r="G8" s="9">
        <f>COUNTIFS(코딩자료!$BA$2:$BA$74,1,코딩자료!$E$2:$E$74,1)</f>
        <v/>
      </c>
      <c r="H8" s="27">
        <f>IFERROR(G8/G10,"")</f>
        <v/>
      </c>
      <c r="J8" s="2" t="inlineStr">
        <is>
          <t>전체</t>
        </is>
      </c>
      <c r="K8" s="13" t="inlineStr">
        <is>
          <t>include</t>
        </is>
      </c>
    </row>
    <row r="9">
      <c r="A9" s="16" t="n"/>
      <c r="B9" s="16" t="inlineStr">
        <is>
          <t>여성</t>
        </is>
      </c>
      <c r="C9" s="9">
        <f>COUNTIFS(코딩자료!$C$2:$C$74,1,코딩자료!$BA$2:$BA$74,1,코딩자료!$E$2:$E$74,2)</f>
        <v/>
      </c>
      <c r="D9" s="27">
        <f>IFERROR(C9/C10,"")</f>
        <v/>
      </c>
      <c r="E9" s="9">
        <f>COUNTIFS(코딩자료!$C$2:$C$74,0,코딩자료!$BA$2:$BA$74,1,코딩자료!$E$2:$E$74,2)</f>
        <v/>
      </c>
      <c r="F9" s="27">
        <f>IFERROR(E9/E10,"")</f>
        <v/>
      </c>
      <c r="G9" s="9">
        <f>COUNTIFS(코딩자료!$BA$2:$BA$74,1,코딩자료!$E$2:$E$74,2)</f>
        <v/>
      </c>
      <c r="H9" s="27">
        <f>IFERROR(G9/G10,"")</f>
        <v/>
      </c>
      <c r="K9" s="15" t="n">
        <v>1</v>
      </c>
    </row>
    <row r="10">
      <c r="A10" s="18" t="n"/>
      <c r="B10" s="18" t="inlineStr">
        <is>
          <t>유효 응답(분모)</t>
        </is>
      </c>
      <c r="C10" s="19">
        <f>COUNTIFS(코딩자료!$C$2:$C$74,1,코딩자료!$BA$2:$BA$74,1,코딩자료!$E$2:$E$74,"&lt;&gt;")</f>
        <v/>
      </c>
      <c r="D10" s="28">
        <f>COUNTIFS(코딩자료!$C$2:$C$74,1,코딩자료!$BA$2:$BA$74,1)-C10</f>
        <v/>
      </c>
      <c r="E10" s="19">
        <f>COUNTIFS(코딩자료!$C$2:$C$74,0,코딩자료!$BA$2:$BA$74,1,코딩자료!$E$2:$E$74,"&lt;&gt;")</f>
        <v/>
      </c>
      <c r="F10" s="28">
        <f>COUNTIFS(코딩자료!$C$2:$C$74,0,코딩자료!$BA$2:$BA$74,1)-E10</f>
        <v/>
      </c>
      <c r="G10" s="19">
        <f>COUNTIFS(코딩자료!$BA$2:$BA$74,1,코딩자료!$E$2:$E$74,"&lt;&gt;")</f>
        <v/>
      </c>
      <c r="H10" s="28">
        <f>COUNTIFS(코딩자료!$BA$2:$BA$74,1)-G10</f>
        <v/>
      </c>
    </row>
    <row r="11">
      <c r="A11" s="16" t="inlineStr">
        <is>
          <t>역할</t>
        </is>
      </c>
      <c r="B11" s="16" t="inlineStr">
        <is>
          <t>공사감독</t>
        </is>
      </c>
      <c r="C11" s="9">
        <f>COUNTIFS(코딩자료!$C$2:$C$74,1,코딩자료!$BA$2:$BA$74,1,코딩자료!$H$2:$H$74,1)</f>
        <v/>
      </c>
      <c r="D11" s="27">
        <f>IFERROR(C11/C15,"")</f>
        <v/>
      </c>
      <c r="E11" s="9">
        <f>COUNTIFS(코딩자료!$C$2:$C$74,0,코딩자료!$BA$2:$BA$74,1,코딩자료!$H$2:$H$74,1)</f>
        <v/>
      </c>
      <c r="F11" s="27">
        <f>IFERROR(E11/E15,"")</f>
        <v/>
      </c>
      <c r="G11" s="9">
        <f>COUNTIFS(코딩자료!$BA$2:$BA$74,1,코딩자료!$H$2:$H$74,1)</f>
        <v/>
      </c>
      <c r="H11" s="27">
        <f>IFERROR(G11/G15,"")</f>
        <v/>
      </c>
    </row>
    <row r="12">
      <c r="A12" s="16" t="n"/>
      <c r="B12" s="16" t="inlineStr">
        <is>
          <t>안전관리자</t>
        </is>
      </c>
      <c r="C12" s="9">
        <f>COUNTIFS(코딩자료!$C$2:$C$74,1,코딩자료!$BA$2:$BA$74,1,코딩자료!$H$2:$H$74,2)</f>
        <v/>
      </c>
      <c r="D12" s="27">
        <f>IFERROR(C12/C15,"")</f>
        <v/>
      </c>
      <c r="E12" s="9">
        <f>COUNTIFS(코딩자료!$C$2:$C$74,0,코딩자료!$BA$2:$BA$74,1,코딩자료!$H$2:$H$74,2)</f>
        <v/>
      </c>
      <c r="F12" s="27">
        <f>IFERROR(E12/E15,"")</f>
        <v/>
      </c>
      <c r="G12" s="9">
        <f>COUNTIFS(코딩자료!$BA$2:$BA$74,1,코딩자료!$H$2:$H$74,2)</f>
        <v/>
      </c>
      <c r="H12" s="27">
        <f>IFERROR(G12/G15,"")</f>
        <v/>
      </c>
    </row>
    <row r="13">
      <c r="A13" s="16" t="n"/>
      <c r="B13" s="16" t="inlineStr">
        <is>
          <t>현장소장</t>
        </is>
      </c>
      <c r="C13" s="9">
        <f>COUNTIFS(코딩자료!$C$2:$C$74,1,코딩자료!$BA$2:$BA$74,1,코딩자료!$H$2:$H$74,3)</f>
        <v/>
      </c>
      <c r="D13" s="27">
        <f>IFERROR(C13/C15,"")</f>
        <v/>
      </c>
      <c r="E13" s="9">
        <f>COUNTIFS(코딩자료!$C$2:$C$74,0,코딩자료!$BA$2:$BA$74,1,코딩자료!$H$2:$H$74,3)</f>
        <v/>
      </c>
      <c r="F13" s="27">
        <f>IFERROR(E13/E15,"")</f>
        <v/>
      </c>
      <c r="G13" s="9">
        <f>COUNTIFS(코딩자료!$BA$2:$BA$74,1,코딩자료!$H$2:$H$74,3)</f>
        <v/>
      </c>
      <c r="H13" s="27">
        <f>IFERROR(G13/G15,"")</f>
        <v/>
      </c>
    </row>
    <row r="14">
      <c r="A14" s="16" t="n"/>
      <c r="B14" s="16" t="inlineStr">
        <is>
          <t>기타</t>
        </is>
      </c>
      <c r="C14" s="9">
        <f>COUNTIFS(코딩자료!$C$2:$C$74,1,코딩자료!$BA$2:$BA$74,1,코딩자료!$H$2:$H$74,4)</f>
        <v/>
      </c>
      <c r="D14" s="27">
        <f>IFERROR(C14/C15,"")</f>
        <v/>
      </c>
      <c r="E14" s="9">
        <f>COUNTIFS(코딩자료!$C$2:$C$74,0,코딩자료!$BA$2:$BA$74,1,코딩자료!$H$2:$H$74,4)</f>
        <v/>
      </c>
      <c r="F14" s="27">
        <f>IFERROR(E14/E15,"")</f>
        <v/>
      </c>
      <c r="G14" s="9">
        <f>COUNTIFS(코딩자료!$BA$2:$BA$74,1,코딩자료!$H$2:$H$74,4)</f>
        <v/>
      </c>
      <c r="H14" s="27">
        <f>IFERROR(G14/G15,"")</f>
        <v/>
      </c>
    </row>
    <row r="15">
      <c r="A15" s="18" t="n"/>
      <c r="B15" s="18" t="inlineStr">
        <is>
          <t>유효 응답(분모)</t>
        </is>
      </c>
      <c r="C15" s="19">
        <f>COUNTIFS(코딩자료!$C$2:$C$74,1,코딩자료!$BA$2:$BA$74,1,코딩자료!$H$2:$H$74,"&lt;&gt;")</f>
        <v/>
      </c>
      <c r="D15" s="28">
        <f>COUNTIFS(코딩자료!$C$2:$C$74,1,코딩자료!$BA$2:$BA$74,1)-C15</f>
        <v/>
      </c>
      <c r="E15" s="19">
        <f>COUNTIFS(코딩자료!$C$2:$C$74,0,코딩자료!$BA$2:$BA$74,1,코딩자료!$H$2:$H$74,"&lt;&gt;")</f>
        <v/>
      </c>
      <c r="F15" s="28">
        <f>COUNTIFS(코딩자료!$C$2:$C$74,0,코딩자료!$BA$2:$BA$74,1)-E15</f>
        <v/>
      </c>
      <c r="G15" s="19">
        <f>COUNTIFS(코딩자료!$BA$2:$BA$74,1,코딩자료!$H$2:$H$74,"&lt;&gt;")</f>
        <v/>
      </c>
      <c r="H15" s="28">
        <f>COUNTIFS(코딩자료!$BA$2:$BA$74,1)-G15</f>
        <v/>
      </c>
    </row>
    <row r="16">
      <c r="A16" s="16" t="inlineStr">
        <is>
          <t>총공사비 구간</t>
        </is>
      </c>
      <c r="B16" s="16" t="inlineStr">
        <is>
          <t>20억 원 미만</t>
        </is>
      </c>
      <c r="C16" s="9">
        <f>COUNTIFS(코딩자료!$C$2:$C$74,1,코딩자료!$BA$2:$BA$74,1,코딩자료!$J$2:$J$74,1)</f>
        <v/>
      </c>
      <c r="D16" s="27">
        <f>IFERROR(C16/C20,"")</f>
        <v/>
      </c>
      <c r="E16" s="9">
        <f>COUNTIFS(코딩자료!$C$2:$C$74,0,코딩자료!$BA$2:$BA$74,1,코딩자료!$J$2:$J$74,1)</f>
        <v/>
      </c>
      <c r="F16" s="27">
        <f>IFERROR(E16/E20,"")</f>
        <v/>
      </c>
      <c r="G16" s="9">
        <f>COUNTIFS(코딩자료!$BA$2:$BA$74,1,코딩자료!$J$2:$J$74,1)</f>
        <v/>
      </c>
      <c r="H16" s="27">
        <f>IFERROR(G16/G20,"")</f>
        <v/>
      </c>
    </row>
    <row r="17">
      <c r="A17" s="16" t="n"/>
      <c r="B17" s="16" t="inlineStr">
        <is>
          <t>20억 원 이상∼50억 원 미만</t>
        </is>
      </c>
      <c r="C17" s="9">
        <f>COUNTIFS(코딩자료!$C$2:$C$74,1,코딩자료!$BA$2:$BA$74,1,코딩자료!$J$2:$J$74,2)</f>
        <v/>
      </c>
      <c r="D17" s="27">
        <f>IFERROR(C17/C20,"")</f>
        <v/>
      </c>
      <c r="E17" s="9">
        <f>COUNTIFS(코딩자료!$C$2:$C$74,0,코딩자료!$BA$2:$BA$74,1,코딩자료!$J$2:$J$74,2)</f>
        <v/>
      </c>
      <c r="F17" s="27">
        <f>IFERROR(E17/E20,"")</f>
        <v/>
      </c>
      <c r="G17" s="9">
        <f>COUNTIFS(코딩자료!$BA$2:$BA$74,1,코딩자료!$J$2:$J$74,2)</f>
        <v/>
      </c>
      <c r="H17" s="27">
        <f>IFERROR(G17/G20,"")</f>
        <v/>
      </c>
    </row>
    <row r="18">
      <c r="A18" s="16" t="n"/>
      <c r="B18" s="16" t="inlineStr">
        <is>
          <t>50억 원 이상∼120억 원 미만</t>
        </is>
      </c>
      <c r="C18" s="9">
        <f>COUNTIFS(코딩자료!$C$2:$C$74,1,코딩자료!$BA$2:$BA$74,1,코딩자료!$J$2:$J$74,3)</f>
        <v/>
      </c>
      <c r="D18" s="27">
        <f>IFERROR(C18/C20,"")</f>
        <v/>
      </c>
      <c r="E18" s="9">
        <f>COUNTIFS(코딩자료!$C$2:$C$74,0,코딩자료!$BA$2:$BA$74,1,코딩자료!$J$2:$J$74,3)</f>
        <v/>
      </c>
      <c r="F18" s="27">
        <f>IFERROR(E18/E20,"")</f>
        <v/>
      </c>
      <c r="G18" s="9">
        <f>COUNTIFS(코딩자료!$BA$2:$BA$74,1,코딩자료!$J$2:$J$74,3)</f>
        <v/>
      </c>
      <c r="H18" s="27">
        <f>IFERROR(G18/G20,"")</f>
        <v/>
      </c>
    </row>
    <row r="19">
      <c r="A19" s="16" t="n"/>
      <c r="B19" s="16" t="inlineStr">
        <is>
          <t>120억 원 이상</t>
        </is>
      </c>
      <c r="C19" s="9">
        <f>COUNTIFS(코딩자료!$C$2:$C$74,1,코딩자료!$BA$2:$BA$74,1,코딩자료!$J$2:$J$74,4)</f>
        <v/>
      </c>
      <c r="D19" s="27">
        <f>IFERROR(C19/C20,"")</f>
        <v/>
      </c>
      <c r="E19" s="9">
        <f>COUNTIFS(코딩자료!$C$2:$C$74,0,코딩자료!$BA$2:$BA$74,1,코딩자료!$J$2:$J$74,4)</f>
        <v/>
      </c>
      <c r="F19" s="27">
        <f>IFERROR(E19/E20,"")</f>
        <v/>
      </c>
      <c r="G19" s="9">
        <f>COUNTIFS(코딩자료!$BA$2:$BA$74,1,코딩자료!$J$2:$J$74,4)</f>
        <v/>
      </c>
      <c r="H19" s="27">
        <f>IFERROR(G19/G20,"")</f>
        <v/>
      </c>
    </row>
    <row r="20">
      <c r="A20" s="18" t="n"/>
      <c r="B20" s="18" t="inlineStr">
        <is>
          <t>유효 응답(분모)</t>
        </is>
      </c>
      <c r="C20" s="19">
        <f>COUNTIFS(코딩자료!$C$2:$C$74,1,코딩자료!$BA$2:$BA$74,1,코딩자료!$J$2:$J$74,"&lt;&gt;")</f>
        <v/>
      </c>
      <c r="D20" s="28">
        <f>COUNTIFS(코딩자료!$C$2:$C$74,1,코딩자료!$BA$2:$BA$74,1)-C20</f>
        <v/>
      </c>
      <c r="E20" s="19">
        <f>COUNTIFS(코딩자료!$C$2:$C$74,0,코딩자료!$BA$2:$BA$74,1,코딩자료!$J$2:$J$74,"&lt;&gt;")</f>
        <v/>
      </c>
      <c r="F20" s="28">
        <f>COUNTIFS(코딩자료!$C$2:$C$74,0,코딩자료!$BA$2:$BA$74,1)-E20</f>
        <v/>
      </c>
      <c r="G20" s="19">
        <f>COUNTIFS(코딩자료!$BA$2:$BA$74,1,코딩자료!$J$2:$J$74,"&lt;&gt;")</f>
        <v/>
      </c>
      <c r="H20" s="28">
        <f>COUNTIFS(코딩자료!$BA$2:$BA$74,1)-G20</f>
        <v/>
      </c>
    </row>
    <row r="21">
      <c r="A21" s="21" t="inlineStr">
        <is>
          <t>합계(include=1)</t>
        </is>
      </c>
      <c r="B21" s="16" t="n"/>
      <c r="C21" s="9">
        <f>COUNTIFS(코딩자료!$C$2:$C$74,1,코딩자료!$BA$2:$BA$74,1)</f>
        <v/>
      </c>
      <c r="D21" s="16" t="n"/>
      <c r="E21" s="9">
        <f>COUNTIFS(코딩자료!$C$2:$C$74,0,코딩자료!$BA$2:$BA$74,1)</f>
        <v/>
      </c>
      <c r="F21" s="16" t="n"/>
      <c r="G21" s="9">
        <f>COUNTIFS(코딩자료!$BA$2:$BA$74,1)</f>
        <v/>
      </c>
      <c r="H21" s="16" t="n"/>
    </row>
    <row r="23">
      <c r="A23" s="12" t="inlineStr">
        <is>
          <t>표 5-1 패널 B — 만 나이·건설현장 경력</t>
        </is>
      </c>
    </row>
    <row r="24">
      <c r="A24" s="14" t="inlineStr">
        <is>
          <t>중위값은 수식 제약(MEDIAN 조건부 배열식 미사용)으로 이 시트에서 산출하지 않는다 — Task B 분석 결과 참조.</t>
        </is>
      </c>
    </row>
    <row r="25">
      <c r="A25" s="4" t="inlineStr">
        <is>
          <t>변수</t>
        </is>
      </c>
      <c r="B25" s="4" t="inlineStr">
        <is>
          <t>집단</t>
        </is>
      </c>
      <c r="C25" s="4" t="inlineStr">
        <is>
          <t>n</t>
        </is>
      </c>
      <c r="D25" s="4" t="inlineStr">
        <is>
          <t>평균(M)</t>
        </is>
      </c>
      <c r="E25" s="4" t="inlineStr">
        <is>
          <t>표준편차(SD)</t>
        </is>
      </c>
      <c r="F25" s="4" t="inlineStr">
        <is>
          <t>최솟값</t>
        </is>
      </c>
      <c r="G25" s="4" t="inlineStr">
        <is>
          <t>최댓값</t>
        </is>
      </c>
    </row>
    <row r="26">
      <c r="A26" s="16" t="inlineStr">
        <is>
          <t>만 나이(세)</t>
        </is>
      </c>
      <c r="B26" s="16" t="inlineStr">
        <is>
          <t>도입</t>
        </is>
      </c>
      <c r="C26" s="9">
        <f>IFERROR(DCOUNT(코딩자료!$A$1:$BB$74,"A3_나이",$K$2:$L$3),"")</f>
        <v/>
      </c>
      <c r="D26" s="22">
        <f>IFERROR(DAVERAGE(코딩자료!$A$1:$BB$74,"A3_나이",$K$2:$L$3),"")</f>
        <v/>
      </c>
      <c r="E26" s="22">
        <f>IFERROR(DSTDEV(코딩자료!$A$1:$BB$74,"A3_나이",$K$2:$L$3),"")</f>
        <v/>
      </c>
      <c r="F26" s="23">
        <f>IFERROR(DMIN(코딩자료!$A$1:$BB$74,"A3_나이",$K$2:$L$3),"")</f>
        <v/>
      </c>
      <c r="G26" s="23">
        <f>IFERROR(DMAX(코딩자료!$A$1:$BB$74,"A3_나이",$K$2:$L$3),"")</f>
        <v/>
      </c>
    </row>
    <row r="27">
      <c r="A27" s="16" t="n"/>
      <c r="B27" s="16" t="inlineStr">
        <is>
          <t>미도입</t>
        </is>
      </c>
      <c r="C27" s="9">
        <f>IFERROR(DCOUNT(코딩자료!$A$1:$BB$74,"A3_나이",$K$5:$L$6),"")</f>
        <v/>
      </c>
      <c r="D27" s="22">
        <f>IFERROR(DAVERAGE(코딩자료!$A$1:$BB$74,"A3_나이",$K$5:$L$6),"")</f>
        <v/>
      </c>
      <c r="E27" s="22">
        <f>IFERROR(DSTDEV(코딩자료!$A$1:$BB$74,"A3_나이",$K$5:$L$6),"")</f>
        <v/>
      </c>
      <c r="F27" s="23">
        <f>IFERROR(DMIN(코딩자료!$A$1:$BB$74,"A3_나이",$K$5:$L$6),"")</f>
        <v/>
      </c>
      <c r="G27" s="23">
        <f>IFERROR(DMAX(코딩자료!$A$1:$BB$74,"A3_나이",$K$5:$L$6),"")</f>
        <v/>
      </c>
    </row>
    <row r="28">
      <c r="A28" s="16" t="n"/>
      <c r="B28" s="16" t="inlineStr">
        <is>
          <t>전체</t>
        </is>
      </c>
      <c r="C28" s="9">
        <f>IFERROR(DCOUNT(코딩자료!$A$1:$BB$74,"A3_나이",$K$8:$K$9),"")</f>
        <v/>
      </c>
      <c r="D28" s="22">
        <f>IFERROR(DAVERAGE(코딩자료!$A$1:$BB$74,"A3_나이",$K$8:$K$9),"")</f>
        <v/>
      </c>
      <c r="E28" s="22">
        <f>IFERROR(DSTDEV(코딩자료!$A$1:$BB$74,"A3_나이",$K$8:$K$9),"")</f>
        <v/>
      </c>
      <c r="F28" s="23">
        <f>IFERROR(DMIN(코딩자료!$A$1:$BB$74,"A3_나이",$K$8:$K$9),"")</f>
        <v/>
      </c>
      <c r="G28" s="23">
        <f>IFERROR(DMAX(코딩자료!$A$1:$BB$74,"A3_나이",$K$8:$K$9),"")</f>
        <v/>
      </c>
    </row>
    <row r="29">
      <c r="A29" s="16" t="inlineStr">
        <is>
          <t>건설현장 경력(년)</t>
        </is>
      </c>
      <c r="B29" s="16" t="inlineStr">
        <is>
          <t>도입</t>
        </is>
      </c>
      <c r="C29" s="9">
        <f>IFERROR(DCOUNT(코딩자료!$A$1:$BB$74,"A4_경력",$K$2:$L$3),"")</f>
        <v/>
      </c>
      <c r="D29" s="22">
        <f>IFERROR(DAVERAGE(코딩자료!$A$1:$BB$74,"A4_경력",$K$2:$L$3),"")</f>
        <v/>
      </c>
      <c r="E29" s="22">
        <f>IFERROR(DSTDEV(코딩자료!$A$1:$BB$74,"A4_경력",$K$2:$L$3),"")</f>
        <v/>
      </c>
      <c r="F29" s="23">
        <f>IFERROR(DMIN(코딩자료!$A$1:$BB$74,"A4_경력",$K$2:$L$3),"")</f>
        <v/>
      </c>
      <c r="G29" s="23">
        <f>IFERROR(DMAX(코딩자료!$A$1:$BB$74,"A4_경력",$K$2:$L$3),"")</f>
        <v/>
      </c>
    </row>
    <row r="30">
      <c r="A30" s="16" t="n"/>
      <c r="B30" s="16" t="inlineStr">
        <is>
          <t>미도입</t>
        </is>
      </c>
      <c r="C30" s="9">
        <f>IFERROR(DCOUNT(코딩자료!$A$1:$BB$74,"A4_경력",$K$5:$L$6),"")</f>
        <v/>
      </c>
      <c r="D30" s="22">
        <f>IFERROR(DAVERAGE(코딩자료!$A$1:$BB$74,"A4_경력",$K$5:$L$6),"")</f>
        <v/>
      </c>
      <c r="E30" s="22">
        <f>IFERROR(DSTDEV(코딩자료!$A$1:$BB$74,"A4_경력",$K$5:$L$6),"")</f>
        <v/>
      </c>
      <c r="F30" s="23">
        <f>IFERROR(DMIN(코딩자료!$A$1:$BB$74,"A4_경력",$K$5:$L$6),"")</f>
        <v/>
      </c>
      <c r="G30" s="23">
        <f>IFERROR(DMAX(코딩자료!$A$1:$BB$74,"A4_경력",$K$5:$L$6),"")</f>
        <v/>
      </c>
    </row>
    <row r="31">
      <c r="A31" s="16" t="n"/>
      <c r="B31" s="16" t="inlineStr">
        <is>
          <t>전체</t>
        </is>
      </c>
      <c r="C31" s="9">
        <f>IFERROR(DCOUNT(코딩자료!$A$1:$BB$74,"A4_경력",$K$8:$K$9),"")</f>
        <v/>
      </c>
      <c r="D31" s="22">
        <f>IFERROR(DAVERAGE(코딩자료!$A$1:$BB$74,"A4_경력",$K$8:$K$9),"")</f>
        <v/>
      </c>
      <c r="E31" s="22">
        <f>IFERROR(DSTDEV(코딩자료!$A$1:$BB$74,"A4_경력",$K$8:$K$9),"")</f>
        <v/>
      </c>
      <c r="F31" s="23">
        <f>IFERROR(DMIN(코딩자료!$A$1:$BB$74,"A4_경력",$K$8:$K$9),"")</f>
        <v/>
      </c>
      <c r="G31" s="23">
        <f>IFERROR(DMAX(코딩자료!$A$1:$BB$74,"A4_경력",$K$8:$K$9),"")</f>
        <v/>
      </c>
    </row>
    <row r="33">
      <c r="A33" s="12" t="inlineStr">
        <is>
          <t>표 5-1 패널 C — 현장 운영 특성(A-7∼A-9)</t>
        </is>
      </c>
    </row>
    <row r="34">
      <c r="A34" s="14" t="inlineStr">
        <is>
          <t>Fisher 정확검정 p는 Task B 분석에서 산출.</t>
        </is>
      </c>
    </row>
    <row r="35">
      <c r="A35" s="4" t="inlineStr">
        <is>
          <t>구분</t>
        </is>
      </c>
      <c r="B35" s="4" t="inlineStr">
        <is>
          <t>항목</t>
        </is>
      </c>
      <c r="C35" s="4" t="inlineStr">
        <is>
          <t>도입 n</t>
        </is>
      </c>
      <c r="D35" s="4" t="inlineStr">
        <is>
          <t>도입 %</t>
        </is>
      </c>
      <c r="E35" s="4" t="inlineStr">
        <is>
          <t>미도입 n</t>
        </is>
      </c>
      <c r="F35" s="4" t="inlineStr">
        <is>
          <t>미도입 %</t>
        </is>
      </c>
      <c r="G35" s="4" t="inlineStr">
        <is>
          <t>전체 n</t>
        </is>
      </c>
      <c r="H35" s="4" t="inlineStr">
        <is>
          <t>전체 %</t>
        </is>
      </c>
    </row>
    <row r="36">
      <c r="A36" s="16" t="inlineStr">
        <is>
          <t>A-7 담당자 부재 시 위험 인지 경로</t>
        </is>
      </c>
      <c r="B36" s="16" t="inlineStr">
        <is>
          <t>① 알게 될 방법이 없다</t>
        </is>
      </c>
      <c r="C36" s="9">
        <f>COUNTIFS(코딩자료!$C$2:$C$74,1,코딩자료!$BA$2:$BA$74,1,코딩자료!$K$2:$K$74,1)</f>
        <v/>
      </c>
      <c r="D36" s="27">
        <f>IFERROR(C36/C41,"")</f>
        <v/>
      </c>
      <c r="E36" s="9">
        <f>COUNTIFS(코딩자료!$C$2:$C$74,0,코딩자료!$BA$2:$BA$74,1,코딩자료!$K$2:$K$74,1)</f>
        <v/>
      </c>
      <c r="F36" s="27">
        <f>IFERROR(E36/E41,"")</f>
        <v/>
      </c>
      <c r="G36" s="9">
        <f>COUNTIFS(코딩자료!$BA$2:$BA$74,1,코딩자료!$K$2:$K$74,1)</f>
        <v/>
      </c>
      <c r="H36" s="27">
        <f>IFERROR(G36/G41,"")</f>
        <v/>
      </c>
    </row>
    <row r="37">
      <c r="A37" s="16" t="n"/>
      <c r="B37" s="16" t="inlineStr">
        <is>
          <t>② 작업자나 반장의 전화·보고</t>
        </is>
      </c>
      <c r="C37" s="9">
        <f>COUNTIFS(코딩자료!$C$2:$C$74,1,코딩자료!$BA$2:$BA$74,1,코딩자료!$K$2:$K$74,2)</f>
        <v/>
      </c>
      <c r="D37" s="27">
        <f>IFERROR(C37/C41,"")</f>
        <v/>
      </c>
      <c r="E37" s="9">
        <f>COUNTIFS(코딩자료!$C$2:$C$74,0,코딩자료!$BA$2:$BA$74,1,코딩자료!$K$2:$K$74,2)</f>
        <v/>
      </c>
      <c r="F37" s="27">
        <f>IFERROR(E37/E41,"")</f>
        <v/>
      </c>
      <c r="G37" s="9">
        <f>COUNTIFS(코딩자료!$BA$2:$BA$74,1,코딩자료!$K$2:$K$74,2)</f>
        <v/>
      </c>
      <c r="H37" s="27">
        <f>IFERROR(G37/G41,"")</f>
        <v/>
      </c>
    </row>
    <row r="38">
      <c r="A38" s="16" t="n"/>
      <c r="B38" s="16" t="inlineStr">
        <is>
          <t>③ 사무실 등에서 CCTV 화면을 직접 본다</t>
        </is>
      </c>
      <c r="C38" s="9">
        <f>COUNTIFS(코딩자료!$C$2:$C$74,1,코딩자료!$BA$2:$BA$74,1,코딩자료!$K$2:$K$74,3)</f>
        <v/>
      </c>
      <c r="D38" s="27">
        <f>IFERROR(C38/C41,"")</f>
        <v/>
      </c>
      <c r="E38" s="9">
        <f>COUNTIFS(코딩자료!$C$2:$C$74,0,코딩자료!$BA$2:$BA$74,1,코딩자료!$K$2:$K$74,3)</f>
        <v/>
      </c>
      <c r="F38" s="27">
        <f>IFERROR(E38/E41,"")</f>
        <v/>
      </c>
      <c r="G38" s="9">
        <f>COUNTIFS(코딩자료!$BA$2:$BA$74,1,코딩자료!$K$2:$K$74,3)</f>
        <v/>
      </c>
      <c r="H38" s="27">
        <f>IFERROR(G38/G41,"")</f>
        <v/>
      </c>
    </row>
    <row r="39">
      <c r="A39" s="16" t="n"/>
      <c r="B39" s="16" t="inlineStr">
        <is>
          <t>④ 자동 알림(문자·메신저·앱)을 받는다</t>
        </is>
      </c>
      <c r="C39" s="9">
        <f>COUNTIFS(코딩자료!$C$2:$C$74,1,코딩자료!$BA$2:$BA$74,1,코딩자료!$K$2:$K$74,4)</f>
        <v/>
      </c>
      <c r="D39" s="27">
        <f>IFERROR(C39/C41,"")</f>
        <v/>
      </c>
      <c r="E39" s="9">
        <f>COUNTIFS(코딩자료!$C$2:$C$74,0,코딩자료!$BA$2:$BA$74,1,코딩자료!$K$2:$K$74,4)</f>
        <v/>
      </c>
      <c r="F39" s="27">
        <f>IFERROR(E39/E41,"")</f>
        <v/>
      </c>
      <c r="G39" s="9">
        <f>COUNTIFS(코딩자료!$BA$2:$BA$74,1,코딩자료!$K$2:$K$74,4)</f>
        <v/>
      </c>
      <c r="H39" s="27">
        <f>IFERROR(G39/G41,"")</f>
        <v/>
      </c>
    </row>
    <row r="40">
      <c r="A40" s="16" t="n"/>
      <c r="B40" s="16" t="inlineStr">
        <is>
          <t>⑤ 기타</t>
        </is>
      </c>
      <c r="C40" s="9">
        <f>COUNTIFS(코딩자료!$C$2:$C$74,1,코딩자료!$BA$2:$BA$74,1,코딩자료!$K$2:$K$74,5)</f>
        <v/>
      </c>
      <c r="D40" s="27">
        <f>IFERROR(C40/C41,"")</f>
        <v/>
      </c>
      <c r="E40" s="9">
        <f>COUNTIFS(코딩자료!$C$2:$C$74,0,코딩자료!$BA$2:$BA$74,1,코딩자료!$K$2:$K$74,5)</f>
        <v/>
      </c>
      <c r="F40" s="27">
        <f>IFERROR(E40/E41,"")</f>
        <v/>
      </c>
      <c r="G40" s="9">
        <f>COUNTIFS(코딩자료!$BA$2:$BA$74,1,코딩자료!$K$2:$K$74,5)</f>
        <v/>
      </c>
      <c r="H40" s="27">
        <f>IFERROR(G40/G41,"")</f>
        <v/>
      </c>
    </row>
    <row r="41">
      <c r="A41" s="18" t="n"/>
      <c r="B41" s="18" t="inlineStr">
        <is>
          <t>유효 응답(분모)</t>
        </is>
      </c>
      <c r="C41" s="19">
        <f>COUNTIFS(코딩자료!$C$2:$C$74,1,코딩자료!$BA$2:$BA$74,1,코딩자료!$K$2:$K$74,"&lt;&gt;")</f>
        <v/>
      </c>
      <c r="D41" s="28">
        <f>COUNTIFS(코딩자료!$C$2:$C$74,1,코딩자료!$BA$2:$BA$74,1)-C41</f>
        <v/>
      </c>
      <c r="E41" s="19">
        <f>COUNTIFS(코딩자료!$C$2:$C$74,0,코딩자료!$BA$2:$BA$74,1,코딩자료!$K$2:$K$74,"&lt;&gt;")</f>
        <v/>
      </c>
      <c r="F41" s="28">
        <f>COUNTIFS(코딩자료!$C$2:$C$74,0,코딩자료!$BA$2:$BA$74,1)-E41</f>
        <v/>
      </c>
      <c r="G41" s="19">
        <f>COUNTIFS(코딩자료!$BA$2:$BA$74,1,코딩자료!$K$2:$K$74,"&lt;&gt;")</f>
        <v/>
      </c>
      <c r="H41" s="28">
        <f>COUNTIFS(코딩자료!$BA$2:$BA$74,1)-G41</f>
        <v/>
      </c>
    </row>
    <row r="42">
      <c r="A42" s="16" t="inlineStr">
        <is>
          <t>A-8 순찰 간 위험 인지 시점</t>
        </is>
      </c>
      <c r="B42" s="16" t="inlineStr">
        <is>
          <t>① 다음 순찰 때</t>
        </is>
      </c>
      <c r="C42" s="9">
        <f>COUNTIFS(코딩자료!$C$2:$C$74,1,코딩자료!$BA$2:$BA$74,1,코딩자료!$M$2:$M$74,1)</f>
        <v/>
      </c>
      <c r="D42" s="27">
        <f>IFERROR(C42/C46,"")</f>
        <v/>
      </c>
      <c r="E42" s="9">
        <f>COUNTIFS(코딩자료!$C$2:$C$74,0,코딩자료!$BA$2:$BA$74,1,코딩자료!$M$2:$M$74,1)</f>
        <v/>
      </c>
      <c r="F42" s="27">
        <f>IFERROR(E42/E46,"")</f>
        <v/>
      </c>
      <c r="G42" s="9">
        <f>COUNTIFS(코딩자료!$BA$2:$BA$74,1,코딩자료!$M$2:$M$74,1)</f>
        <v/>
      </c>
      <c r="H42" s="27">
        <f>IFERROR(G42/G46,"")</f>
        <v/>
      </c>
    </row>
    <row r="43">
      <c r="A43" s="16" t="n"/>
      <c r="B43" s="16" t="inlineStr">
        <is>
          <t>② 누군가 알려줄 때</t>
        </is>
      </c>
      <c r="C43" s="9">
        <f>COUNTIFS(코딩자료!$C$2:$C$74,1,코딩자료!$BA$2:$BA$74,1,코딩자료!$M$2:$M$74,2)</f>
        <v/>
      </c>
      <c r="D43" s="27">
        <f>IFERROR(C43/C46,"")</f>
        <v/>
      </c>
      <c r="E43" s="9">
        <f>COUNTIFS(코딩자료!$C$2:$C$74,0,코딩자료!$BA$2:$BA$74,1,코딩자료!$M$2:$M$74,2)</f>
        <v/>
      </c>
      <c r="F43" s="27">
        <f>IFERROR(E43/E46,"")</f>
        <v/>
      </c>
      <c r="G43" s="9">
        <f>COUNTIFS(코딩자료!$BA$2:$BA$74,1,코딩자료!$M$2:$M$74,2)</f>
        <v/>
      </c>
      <c r="H43" s="27">
        <f>IFERROR(G43/G46,"")</f>
        <v/>
      </c>
    </row>
    <row r="44">
      <c r="A44" s="16" t="n"/>
      <c r="B44" s="16" t="inlineStr">
        <is>
          <t>③ 발생 직후 알림으로</t>
        </is>
      </c>
      <c r="C44" s="9">
        <f>COUNTIFS(코딩자료!$C$2:$C$74,1,코딩자료!$BA$2:$BA$74,1,코딩자료!$M$2:$M$74,3)</f>
        <v/>
      </c>
      <c r="D44" s="27">
        <f>IFERROR(C44/C46,"")</f>
        <v/>
      </c>
      <c r="E44" s="9">
        <f>COUNTIFS(코딩자료!$C$2:$C$74,0,코딩자료!$BA$2:$BA$74,1,코딩자료!$M$2:$M$74,3)</f>
        <v/>
      </c>
      <c r="F44" s="27">
        <f>IFERROR(E44/E46,"")</f>
        <v/>
      </c>
      <c r="G44" s="9">
        <f>COUNTIFS(코딩자료!$BA$2:$BA$74,1,코딩자료!$M$2:$M$74,3)</f>
        <v/>
      </c>
      <c r="H44" s="27">
        <f>IFERROR(G44/G46,"")</f>
        <v/>
      </c>
    </row>
    <row r="45">
      <c r="A45" s="16" t="n"/>
      <c r="B45" s="16" t="inlineStr">
        <is>
          <t>④ 모르고 지나가는 경우가 많다</t>
        </is>
      </c>
      <c r="C45" s="9">
        <f>COUNTIFS(코딩자료!$C$2:$C$74,1,코딩자료!$BA$2:$BA$74,1,코딩자료!$M$2:$M$74,4)</f>
        <v/>
      </c>
      <c r="D45" s="27">
        <f>IFERROR(C45/C46,"")</f>
        <v/>
      </c>
      <c r="E45" s="9">
        <f>COUNTIFS(코딩자료!$C$2:$C$74,0,코딩자료!$BA$2:$BA$74,1,코딩자료!$M$2:$M$74,4)</f>
        <v/>
      </c>
      <c r="F45" s="27">
        <f>IFERROR(E45/E46,"")</f>
        <v/>
      </c>
      <c r="G45" s="9">
        <f>COUNTIFS(코딩자료!$BA$2:$BA$74,1,코딩자료!$M$2:$M$74,4)</f>
        <v/>
      </c>
      <c r="H45" s="27">
        <f>IFERROR(G45/G46,"")</f>
        <v/>
      </c>
    </row>
    <row r="46">
      <c r="A46" s="18" t="n"/>
      <c r="B46" s="18" t="inlineStr">
        <is>
          <t>유효 응답(분모)</t>
        </is>
      </c>
      <c r="C46" s="19">
        <f>COUNTIFS(코딩자료!$C$2:$C$74,1,코딩자료!$BA$2:$BA$74,1,코딩자료!$M$2:$M$74,"&lt;&gt;")</f>
        <v/>
      </c>
      <c r="D46" s="28">
        <f>COUNTIFS(코딩자료!$C$2:$C$74,1,코딩자료!$BA$2:$BA$74,1)-C46</f>
        <v/>
      </c>
      <c r="E46" s="19">
        <f>COUNTIFS(코딩자료!$C$2:$C$74,0,코딩자료!$BA$2:$BA$74,1,코딩자료!$M$2:$M$74,"&lt;&gt;")</f>
        <v/>
      </c>
      <c r="F46" s="28">
        <f>COUNTIFS(코딩자료!$C$2:$C$74,0,코딩자료!$BA$2:$BA$74,1)-E46</f>
        <v/>
      </c>
      <c r="G46" s="19">
        <f>COUNTIFS(코딩자료!$BA$2:$BA$74,1,코딩자료!$M$2:$M$74,"&lt;&gt;")</f>
        <v/>
      </c>
      <c r="H46" s="28">
        <f>COUNTIFS(코딩자료!$BA$2:$BA$74,1)-G46</f>
        <v/>
      </c>
    </row>
    <row r="47">
      <c r="A47" s="16" t="inlineStr">
        <is>
          <t>A-9 인지 후 지시 전달 소요시간</t>
        </is>
      </c>
      <c r="B47" s="16" t="inlineStr">
        <is>
          <t>① 즉시∼5분</t>
        </is>
      </c>
      <c r="C47" s="9">
        <f>COUNTIFS(코딩자료!$C$2:$C$74,1,코딩자료!$BA$2:$BA$74,1,코딩자료!$N$2:$N$74,1)</f>
        <v/>
      </c>
      <c r="D47" s="27">
        <f>IFERROR(C47/C51,"")</f>
        <v/>
      </c>
      <c r="E47" s="9">
        <f>COUNTIFS(코딩자료!$C$2:$C$74,0,코딩자료!$BA$2:$BA$74,1,코딩자료!$N$2:$N$74,1)</f>
        <v/>
      </c>
      <c r="F47" s="27">
        <f>IFERROR(E47/E51,"")</f>
        <v/>
      </c>
      <c r="G47" s="9">
        <f>COUNTIFS(코딩자료!$BA$2:$BA$74,1,코딩자료!$N$2:$N$74,1)</f>
        <v/>
      </c>
      <c r="H47" s="27">
        <f>IFERROR(G47/G51,"")</f>
        <v/>
      </c>
    </row>
    <row r="48">
      <c r="A48" s="16" t="n"/>
      <c r="B48" s="16" t="inlineStr">
        <is>
          <t>② 5분 초과∼30분</t>
        </is>
      </c>
      <c r="C48" s="9">
        <f>COUNTIFS(코딩자료!$C$2:$C$74,1,코딩자료!$BA$2:$BA$74,1,코딩자료!$N$2:$N$74,2)</f>
        <v/>
      </c>
      <c r="D48" s="27">
        <f>IFERROR(C48/C51,"")</f>
        <v/>
      </c>
      <c r="E48" s="9">
        <f>COUNTIFS(코딩자료!$C$2:$C$74,0,코딩자료!$BA$2:$BA$74,1,코딩자료!$N$2:$N$74,2)</f>
        <v/>
      </c>
      <c r="F48" s="27">
        <f>IFERROR(E48/E51,"")</f>
        <v/>
      </c>
      <c r="G48" s="9">
        <f>COUNTIFS(코딩자료!$BA$2:$BA$74,1,코딩자료!$N$2:$N$74,2)</f>
        <v/>
      </c>
      <c r="H48" s="27">
        <f>IFERROR(G48/G51,"")</f>
        <v/>
      </c>
    </row>
    <row r="49">
      <c r="A49" s="16" t="n"/>
      <c r="B49" s="16" t="inlineStr">
        <is>
          <t>③ 30분 초과∼1시간</t>
        </is>
      </c>
      <c r="C49" s="9">
        <f>COUNTIFS(코딩자료!$C$2:$C$74,1,코딩자료!$BA$2:$BA$74,1,코딩자료!$N$2:$N$74,3)</f>
        <v/>
      </c>
      <c r="D49" s="27">
        <f>IFERROR(C49/C51,"")</f>
        <v/>
      </c>
      <c r="E49" s="9">
        <f>COUNTIFS(코딩자료!$C$2:$C$74,0,코딩자료!$BA$2:$BA$74,1,코딩자료!$N$2:$N$74,3)</f>
        <v/>
      </c>
      <c r="F49" s="27">
        <f>IFERROR(E49/E51,"")</f>
        <v/>
      </c>
      <c r="G49" s="9">
        <f>COUNTIFS(코딩자료!$BA$2:$BA$74,1,코딩자료!$N$2:$N$74,3)</f>
        <v/>
      </c>
      <c r="H49" s="27">
        <f>IFERROR(G49/G51,"")</f>
        <v/>
      </c>
    </row>
    <row r="50">
      <c r="A50" s="16" t="n"/>
      <c r="B50" s="16" t="inlineStr">
        <is>
          <t>④ 1시간 초과 또는 다음 순찰 때</t>
        </is>
      </c>
      <c r="C50" s="9">
        <f>COUNTIFS(코딩자료!$C$2:$C$74,1,코딩자료!$BA$2:$BA$74,1,코딩자료!$N$2:$N$74,4)</f>
        <v/>
      </c>
      <c r="D50" s="27">
        <f>IFERROR(C50/C51,"")</f>
        <v/>
      </c>
      <c r="E50" s="9">
        <f>COUNTIFS(코딩자료!$C$2:$C$74,0,코딩자료!$BA$2:$BA$74,1,코딩자료!$N$2:$N$74,4)</f>
        <v/>
      </c>
      <c r="F50" s="27">
        <f>IFERROR(E50/E51,"")</f>
        <v/>
      </c>
      <c r="G50" s="9">
        <f>COUNTIFS(코딩자료!$BA$2:$BA$74,1,코딩자료!$N$2:$N$74,4)</f>
        <v/>
      </c>
      <c r="H50" s="27">
        <f>IFERROR(G50/G51,"")</f>
        <v/>
      </c>
    </row>
    <row r="51">
      <c r="A51" s="18" t="n"/>
      <c r="B51" s="18" t="inlineStr">
        <is>
          <t>유효 응답(분모)</t>
        </is>
      </c>
      <c r="C51" s="19">
        <f>COUNTIFS(코딩자료!$C$2:$C$74,1,코딩자료!$BA$2:$BA$74,1,코딩자료!$N$2:$N$74,"&lt;&gt;")</f>
        <v/>
      </c>
      <c r="D51" s="28">
        <f>COUNTIFS(코딩자료!$C$2:$C$74,1,코딩자료!$BA$2:$BA$74,1)-C51</f>
        <v/>
      </c>
      <c r="E51" s="19">
        <f>COUNTIFS(코딩자료!$C$2:$C$74,0,코딩자료!$BA$2:$BA$74,1,코딩자료!$N$2:$N$74,"&lt;&gt;")</f>
        <v/>
      </c>
      <c r="F51" s="28">
        <f>COUNTIFS(코딩자료!$C$2:$C$74,0,코딩자료!$BA$2:$BA$74,1)-E51</f>
        <v/>
      </c>
      <c r="G51" s="19">
        <f>COUNTIFS(코딩자료!$BA$2:$BA$74,1,코딩자료!$N$2:$N$74,"&lt;&gt;")</f>
        <v/>
      </c>
      <c r="H51" s="28">
        <f>COUNTIFS(코딩자료!$BA$2:$BA$74,1)-G51</f>
        <v/>
      </c>
    </row>
    <row r="53">
      <c r="A53" s="12" t="inlineStr">
        <is>
          <t>도입 집단 시스템 경로 작동(sys_path) 집계</t>
        </is>
      </c>
    </row>
    <row r="54">
      <c r="A54" s="14" t="inlineStr">
        <is>
          <t>sys_path=1: A-7이 ③·④이고 A-8이 ③. A-7 ⑤(기타)는 0으로 집계 [확정 필요].</t>
        </is>
      </c>
    </row>
    <row r="55">
      <c r="A55" s="4" t="inlineStr">
        <is>
          <t>구분</t>
        </is>
      </c>
      <c r="B55" s="4" t="inlineStr">
        <is>
          <t>항목</t>
        </is>
      </c>
      <c r="C55" s="4" t="inlineStr">
        <is>
          <t>도입 n</t>
        </is>
      </c>
    </row>
    <row r="56">
      <c r="A56" s="16" t="inlineStr">
        <is>
          <t>시스템 경로</t>
        </is>
      </c>
      <c r="B56" s="16" t="inlineStr">
        <is>
          <t>sys_path=1 (경로 작동)</t>
        </is>
      </c>
      <c r="C56" s="9">
        <f>COUNTIFS(코딩자료!$C$2:$C$74,1,코딩자료!$BA$2:$BA$74,1,코딩자료!$AZ$2:$AZ$74,1)</f>
        <v/>
      </c>
    </row>
    <row r="57">
      <c r="A57" s="16" t="inlineStr">
        <is>
          <t>시스템 경로</t>
        </is>
      </c>
      <c r="B57" s="16" t="inlineStr">
        <is>
          <t>sys_path=0 (경로 미작동)</t>
        </is>
      </c>
      <c r="C57" s="9">
        <f>COUNTIFS(코딩자료!$C$2:$C$74,1,코딩자료!$BA$2:$BA$74,1,코딩자료!$AZ$2:$AZ$74,0)</f>
        <v/>
      </c>
    </row>
    <row r="58">
      <c r="A58" s="16" t="inlineStr">
        <is>
          <t>시스템 경로</t>
        </is>
      </c>
      <c r="B58" s="16" t="inlineStr">
        <is>
          <t>그중 A-7 ⑤ 기타</t>
        </is>
      </c>
      <c r="C58" s="9">
        <f>COUNTIFS(코딩자료!$C$2:$C$74,1,코딩자료!$BA$2:$BA$74,1,코딩자료!$K$2:$K$74,5)</f>
        <v/>
      </c>
    </row>
    <row r="60">
      <c r="A60" s="12" t="inlineStr">
        <is>
          <t>표 5-3 패널 A — 주요 변수의 기술통계(집단별)</t>
        </is>
      </c>
    </row>
    <row r="61">
      <c r="A61" s="14" t="inlineStr">
        <is>
          <t>왜도·첨도는 Task B 분석 결과 참조. n은 해당 척도 전 문항 응답자 수.</t>
        </is>
      </c>
    </row>
    <row r="62">
      <c r="A62" s="4" t="inlineStr">
        <is>
          <t>변수</t>
        </is>
      </c>
      <c r="B62" s="4" t="inlineStr">
        <is>
          <t>집단</t>
        </is>
      </c>
      <c r="C62" s="4" t="inlineStr">
        <is>
          <t>n</t>
        </is>
      </c>
      <c r="D62" s="4" t="inlineStr">
        <is>
          <t>평균(M)</t>
        </is>
      </c>
      <c r="E62" s="4" t="inlineStr">
        <is>
          <t>표준편차(SD)</t>
        </is>
      </c>
      <c r="F62" s="4" t="inlineStr">
        <is>
          <t>최솟값</t>
        </is>
      </c>
      <c r="G62" s="4" t="inlineStr">
        <is>
          <t>최댓값</t>
        </is>
      </c>
    </row>
    <row r="63">
      <c r="A63" s="16" t="inlineStr">
        <is>
          <t>안전관리 실효성 전체</t>
        </is>
      </c>
      <c r="B63" s="16" t="inlineStr">
        <is>
          <t>도입</t>
        </is>
      </c>
      <c r="C63" s="9">
        <f>IFERROR(DCOUNT(코딩자료!$A$1:$BB$74,"Y_total",$K$2:$L$3),"")</f>
        <v/>
      </c>
      <c r="D63" s="22">
        <f>IFERROR(DAVERAGE(코딩자료!$A$1:$BB$74,"Y_total",$K$2:$L$3),"")</f>
        <v/>
      </c>
      <c r="E63" s="22">
        <f>IFERROR(DSTDEV(코딩자료!$A$1:$BB$74,"Y_total",$K$2:$L$3),"")</f>
        <v/>
      </c>
      <c r="F63" s="23">
        <f>IFERROR(DMIN(코딩자료!$A$1:$BB$74,"Y_total",$K$2:$L$3),"")</f>
        <v/>
      </c>
      <c r="G63" s="23">
        <f>IFERROR(DMAX(코딩자료!$A$1:$BB$74,"Y_total",$K$2:$L$3),"")</f>
        <v/>
      </c>
    </row>
    <row r="64">
      <c r="A64" s="16" t="n"/>
      <c r="B64" s="16" t="inlineStr">
        <is>
          <t>미도입</t>
        </is>
      </c>
      <c r="C64" s="9">
        <f>IFERROR(DCOUNT(코딩자료!$A$1:$BB$74,"Y_total",$K$5:$L$6),"")</f>
        <v/>
      </c>
      <c r="D64" s="22">
        <f>IFERROR(DAVERAGE(코딩자료!$A$1:$BB$74,"Y_total",$K$5:$L$6),"")</f>
        <v/>
      </c>
      <c r="E64" s="22">
        <f>IFERROR(DSTDEV(코딩자료!$A$1:$BB$74,"Y_total",$K$5:$L$6),"")</f>
        <v/>
      </c>
      <c r="F64" s="23">
        <f>IFERROR(DMIN(코딩자료!$A$1:$BB$74,"Y_total",$K$5:$L$6),"")</f>
        <v/>
      </c>
      <c r="G64" s="23">
        <f>IFERROR(DMAX(코딩자료!$A$1:$BB$74,"Y_total",$K$5:$L$6),"")</f>
        <v/>
      </c>
    </row>
    <row r="65">
      <c r="A65" s="16" t="n"/>
      <c r="B65" s="16" t="inlineStr">
        <is>
          <t>전체</t>
        </is>
      </c>
      <c r="C65" s="9">
        <f>IFERROR(DCOUNT(코딩자료!$A$1:$BB$74,"Y_total",$K$8:$K$9),"")</f>
        <v/>
      </c>
      <c r="D65" s="22">
        <f>IFERROR(DAVERAGE(코딩자료!$A$1:$BB$74,"Y_total",$K$8:$K$9),"")</f>
        <v/>
      </c>
      <c r="E65" s="22">
        <f>IFERROR(DSTDEV(코딩자료!$A$1:$BB$74,"Y_total",$K$8:$K$9),"")</f>
        <v/>
      </c>
      <c r="F65" s="23">
        <f>IFERROR(DMIN(코딩자료!$A$1:$BB$74,"Y_total",$K$8:$K$9),"")</f>
        <v/>
      </c>
      <c r="G65" s="23">
        <f>IFERROR(DMAX(코딩자료!$A$1:$BB$74,"Y_total",$K$8:$K$9),"")</f>
        <v/>
      </c>
    </row>
    <row r="66">
      <c r="A66" s="16" t="inlineStr">
        <is>
          <t>조기인지</t>
        </is>
      </c>
      <c r="B66" s="16" t="inlineStr">
        <is>
          <t>도입</t>
        </is>
      </c>
      <c r="C66" s="9">
        <f>IFERROR(DCOUNT(코딩자료!$A$1:$BB$74,"Y1_조기인지",$K$2:$L$3),"")</f>
        <v/>
      </c>
      <c r="D66" s="22">
        <f>IFERROR(DAVERAGE(코딩자료!$A$1:$BB$74,"Y1_조기인지",$K$2:$L$3),"")</f>
        <v/>
      </c>
      <c r="E66" s="22">
        <f>IFERROR(DSTDEV(코딩자료!$A$1:$BB$74,"Y1_조기인지",$K$2:$L$3),"")</f>
        <v/>
      </c>
      <c r="F66" s="23">
        <f>IFERROR(DMIN(코딩자료!$A$1:$BB$74,"Y1_조기인지",$K$2:$L$3),"")</f>
        <v/>
      </c>
      <c r="G66" s="23">
        <f>IFERROR(DMAX(코딩자료!$A$1:$BB$74,"Y1_조기인지",$K$2:$L$3),"")</f>
        <v/>
      </c>
    </row>
    <row r="67">
      <c r="A67" s="16" t="n"/>
      <c r="B67" s="16" t="inlineStr">
        <is>
          <t>미도입</t>
        </is>
      </c>
      <c r="C67" s="9">
        <f>IFERROR(DCOUNT(코딩자료!$A$1:$BB$74,"Y1_조기인지",$K$5:$L$6),"")</f>
        <v/>
      </c>
      <c r="D67" s="22">
        <f>IFERROR(DAVERAGE(코딩자료!$A$1:$BB$74,"Y1_조기인지",$K$5:$L$6),"")</f>
        <v/>
      </c>
      <c r="E67" s="22">
        <f>IFERROR(DSTDEV(코딩자료!$A$1:$BB$74,"Y1_조기인지",$K$5:$L$6),"")</f>
        <v/>
      </c>
      <c r="F67" s="23">
        <f>IFERROR(DMIN(코딩자료!$A$1:$BB$74,"Y1_조기인지",$K$5:$L$6),"")</f>
        <v/>
      </c>
      <c r="G67" s="23">
        <f>IFERROR(DMAX(코딩자료!$A$1:$BB$74,"Y1_조기인지",$K$5:$L$6),"")</f>
        <v/>
      </c>
    </row>
    <row r="68">
      <c r="A68" s="16" t="n"/>
      <c r="B68" s="16" t="inlineStr">
        <is>
          <t>전체</t>
        </is>
      </c>
      <c r="C68" s="9">
        <f>IFERROR(DCOUNT(코딩자료!$A$1:$BB$74,"Y1_조기인지",$K$8:$K$9),"")</f>
        <v/>
      </c>
      <c r="D68" s="22">
        <f>IFERROR(DAVERAGE(코딩자료!$A$1:$BB$74,"Y1_조기인지",$K$8:$K$9),"")</f>
        <v/>
      </c>
      <c r="E68" s="22">
        <f>IFERROR(DSTDEV(코딩자료!$A$1:$BB$74,"Y1_조기인지",$K$8:$K$9),"")</f>
        <v/>
      </c>
      <c r="F68" s="23">
        <f>IFERROR(DMIN(코딩자료!$A$1:$BB$74,"Y1_조기인지",$K$8:$K$9),"")</f>
        <v/>
      </c>
      <c r="G68" s="23">
        <f>IFERROR(DMAX(코딩자료!$A$1:$BB$74,"Y1_조기인지",$K$8:$K$9),"")</f>
        <v/>
      </c>
    </row>
    <row r="69">
      <c r="A69" s="16" t="inlineStr">
        <is>
          <t>대응 신속성</t>
        </is>
      </c>
      <c r="B69" s="16" t="inlineStr">
        <is>
          <t>도입</t>
        </is>
      </c>
      <c r="C69" s="9">
        <f>IFERROR(DCOUNT(코딩자료!$A$1:$BB$74,"Y2_대응신속성",$K$2:$L$3),"")</f>
        <v/>
      </c>
      <c r="D69" s="22">
        <f>IFERROR(DAVERAGE(코딩자료!$A$1:$BB$74,"Y2_대응신속성",$K$2:$L$3),"")</f>
        <v/>
      </c>
      <c r="E69" s="22">
        <f>IFERROR(DSTDEV(코딩자료!$A$1:$BB$74,"Y2_대응신속성",$K$2:$L$3),"")</f>
        <v/>
      </c>
      <c r="F69" s="23">
        <f>IFERROR(DMIN(코딩자료!$A$1:$BB$74,"Y2_대응신속성",$K$2:$L$3),"")</f>
        <v/>
      </c>
      <c r="G69" s="23">
        <f>IFERROR(DMAX(코딩자료!$A$1:$BB$74,"Y2_대응신속성",$K$2:$L$3),"")</f>
        <v/>
      </c>
    </row>
    <row r="70">
      <c r="A70" s="16" t="n"/>
      <c r="B70" s="16" t="inlineStr">
        <is>
          <t>미도입</t>
        </is>
      </c>
      <c r="C70" s="9">
        <f>IFERROR(DCOUNT(코딩자료!$A$1:$BB$74,"Y2_대응신속성",$K$5:$L$6),"")</f>
        <v/>
      </c>
      <c r="D70" s="22">
        <f>IFERROR(DAVERAGE(코딩자료!$A$1:$BB$74,"Y2_대응신속성",$K$5:$L$6),"")</f>
        <v/>
      </c>
      <c r="E70" s="22">
        <f>IFERROR(DSTDEV(코딩자료!$A$1:$BB$74,"Y2_대응신속성",$K$5:$L$6),"")</f>
        <v/>
      </c>
      <c r="F70" s="23">
        <f>IFERROR(DMIN(코딩자료!$A$1:$BB$74,"Y2_대응신속성",$K$5:$L$6),"")</f>
        <v/>
      </c>
      <c r="G70" s="23">
        <f>IFERROR(DMAX(코딩자료!$A$1:$BB$74,"Y2_대응신속성",$K$5:$L$6),"")</f>
        <v/>
      </c>
    </row>
    <row r="71">
      <c r="A71" s="16" t="n"/>
      <c r="B71" s="16" t="inlineStr">
        <is>
          <t>전체</t>
        </is>
      </c>
      <c r="C71" s="9">
        <f>IFERROR(DCOUNT(코딩자료!$A$1:$BB$74,"Y2_대응신속성",$K$8:$K$9),"")</f>
        <v/>
      </c>
      <c r="D71" s="22">
        <f>IFERROR(DAVERAGE(코딩자료!$A$1:$BB$74,"Y2_대응신속성",$K$8:$K$9),"")</f>
        <v/>
      </c>
      <c r="E71" s="22">
        <f>IFERROR(DSTDEV(코딩자료!$A$1:$BB$74,"Y2_대응신속성",$K$8:$K$9),"")</f>
        <v/>
      </c>
      <c r="F71" s="23">
        <f>IFERROR(DMIN(코딩자료!$A$1:$BB$74,"Y2_대응신속성",$K$8:$K$9),"")</f>
        <v/>
      </c>
      <c r="G71" s="23">
        <f>IFERROR(DMAX(코딩자료!$A$1:$BB$74,"Y2_대응신속성",$K$8:$K$9),"")</f>
        <v/>
      </c>
    </row>
    <row r="72">
      <c r="A72" s="16" t="inlineStr">
        <is>
          <t>원격 파악</t>
        </is>
      </c>
      <c r="B72" s="16" t="inlineStr">
        <is>
          <t>도입</t>
        </is>
      </c>
      <c r="C72" s="9">
        <f>IFERROR(DCOUNT(코딩자료!$A$1:$BB$74,"Y3_원격파악",$K$2:$L$3),"")</f>
        <v/>
      </c>
      <c r="D72" s="22">
        <f>IFERROR(DAVERAGE(코딩자료!$A$1:$BB$74,"Y3_원격파악",$K$2:$L$3),"")</f>
        <v/>
      </c>
      <c r="E72" s="22">
        <f>IFERROR(DSTDEV(코딩자료!$A$1:$BB$74,"Y3_원격파악",$K$2:$L$3),"")</f>
        <v/>
      </c>
      <c r="F72" s="23">
        <f>IFERROR(DMIN(코딩자료!$A$1:$BB$74,"Y3_원격파악",$K$2:$L$3),"")</f>
        <v/>
      </c>
      <c r="G72" s="23">
        <f>IFERROR(DMAX(코딩자료!$A$1:$BB$74,"Y3_원격파악",$K$2:$L$3),"")</f>
        <v/>
      </c>
    </row>
    <row r="73">
      <c r="A73" s="16" t="n"/>
      <c r="B73" s="16" t="inlineStr">
        <is>
          <t>미도입</t>
        </is>
      </c>
      <c r="C73" s="9">
        <f>IFERROR(DCOUNT(코딩자료!$A$1:$BB$74,"Y3_원격파악",$K$5:$L$6),"")</f>
        <v/>
      </c>
      <c r="D73" s="22">
        <f>IFERROR(DAVERAGE(코딩자료!$A$1:$BB$74,"Y3_원격파악",$K$5:$L$6),"")</f>
        <v/>
      </c>
      <c r="E73" s="22">
        <f>IFERROR(DSTDEV(코딩자료!$A$1:$BB$74,"Y3_원격파악",$K$5:$L$6),"")</f>
        <v/>
      </c>
      <c r="F73" s="23">
        <f>IFERROR(DMIN(코딩자료!$A$1:$BB$74,"Y3_원격파악",$K$5:$L$6),"")</f>
        <v/>
      </c>
      <c r="G73" s="23">
        <f>IFERROR(DMAX(코딩자료!$A$1:$BB$74,"Y3_원격파악",$K$5:$L$6),"")</f>
        <v/>
      </c>
    </row>
    <row r="74">
      <c r="A74" s="16" t="n"/>
      <c r="B74" s="16" t="inlineStr">
        <is>
          <t>전체</t>
        </is>
      </c>
      <c r="C74" s="9">
        <f>IFERROR(DCOUNT(코딩자료!$A$1:$BB$74,"Y3_원격파악",$K$8:$K$9),"")</f>
        <v/>
      </c>
      <c r="D74" s="22">
        <f>IFERROR(DAVERAGE(코딩자료!$A$1:$BB$74,"Y3_원격파악",$K$8:$K$9),"")</f>
        <v/>
      </c>
      <c r="E74" s="22">
        <f>IFERROR(DSTDEV(코딩자료!$A$1:$BB$74,"Y3_원격파악",$K$8:$K$9),"")</f>
        <v/>
      </c>
      <c r="F74" s="23">
        <f>IFERROR(DMIN(코딩자료!$A$1:$BB$74,"Y3_원격파악",$K$8:$K$9),"")</f>
        <v/>
      </c>
      <c r="G74" s="23">
        <f>IFERROR(DMAX(코딩자료!$A$1:$BB$74,"Y3_원격파악",$K$8:$K$9),"")</f>
        <v/>
      </c>
    </row>
    <row r="75">
      <c r="A75" s="16" t="inlineStr">
        <is>
          <t>순찰부담 경감</t>
        </is>
      </c>
      <c r="B75" s="16" t="inlineStr">
        <is>
          <t>도입</t>
        </is>
      </c>
      <c r="C75" s="9">
        <f>IFERROR(DCOUNT(코딩자료!$A$1:$BB$74,"Y4_순찰부담경감",$K$2:$L$3),"")</f>
        <v/>
      </c>
      <c r="D75" s="22">
        <f>IFERROR(DAVERAGE(코딩자료!$A$1:$BB$74,"Y4_순찰부담경감",$K$2:$L$3),"")</f>
        <v/>
      </c>
      <c r="E75" s="22">
        <f>IFERROR(DSTDEV(코딩자료!$A$1:$BB$74,"Y4_순찰부담경감",$K$2:$L$3),"")</f>
        <v/>
      </c>
      <c r="F75" s="23">
        <f>IFERROR(DMIN(코딩자료!$A$1:$BB$74,"Y4_순찰부담경감",$K$2:$L$3),"")</f>
        <v/>
      </c>
      <c r="G75" s="23">
        <f>IFERROR(DMAX(코딩자료!$A$1:$BB$74,"Y4_순찰부담경감",$K$2:$L$3),"")</f>
        <v/>
      </c>
    </row>
    <row r="76">
      <c r="A76" s="16" t="n"/>
      <c r="B76" s="16" t="inlineStr">
        <is>
          <t>미도입</t>
        </is>
      </c>
      <c r="C76" s="9">
        <f>IFERROR(DCOUNT(코딩자료!$A$1:$BB$74,"Y4_순찰부담경감",$K$5:$L$6),"")</f>
        <v/>
      </c>
      <c r="D76" s="22">
        <f>IFERROR(DAVERAGE(코딩자료!$A$1:$BB$74,"Y4_순찰부담경감",$K$5:$L$6),"")</f>
        <v/>
      </c>
      <c r="E76" s="22">
        <f>IFERROR(DSTDEV(코딩자료!$A$1:$BB$74,"Y4_순찰부담경감",$K$5:$L$6),"")</f>
        <v/>
      </c>
      <c r="F76" s="23">
        <f>IFERROR(DMIN(코딩자료!$A$1:$BB$74,"Y4_순찰부담경감",$K$5:$L$6),"")</f>
        <v/>
      </c>
      <c r="G76" s="23">
        <f>IFERROR(DMAX(코딩자료!$A$1:$BB$74,"Y4_순찰부담경감",$K$5:$L$6),"")</f>
        <v/>
      </c>
    </row>
    <row r="77">
      <c r="A77" s="16" t="n"/>
      <c r="B77" s="16" t="inlineStr">
        <is>
          <t>전체</t>
        </is>
      </c>
      <c r="C77" s="9">
        <f>IFERROR(DCOUNT(코딩자료!$A$1:$BB$74,"Y4_순찰부담경감",$K$8:$K$9),"")</f>
        <v/>
      </c>
      <c r="D77" s="22">
        <f>IFERROR(DAVERAGE(코딩자료!$A$1:$BB$74,"Y4_순찰부담경감",$K$8:$K$9),"")</f>
        <v/>
      </c>
      <c r="E77" s="22">
        <f>IFERROR(DSTDEV(코딩자료!$A$1:$BB$74,"Y4_순찰부담경감",$K$8:$K$9),"")</f>
        <v/>
      </c>
      <c r="F77" s="23">
        <f>IFERROR(DMIN(코딩자료!$A$1:$BB$74,"Y4_순찰부담경감",$K$8:$K$9),"")</f>
        <v/>
      </c>
      <c r="G77" s="23">
        <f>IFERROR(DMAX(코딩자료!$A$1:$BB$74,"Y4_순찰부담경감",$K$8:$K$9),"")</f>
        <v/>
      </c>
    </row>
    <row r="78">
      <c r="A78" s="16" t="inlineStr">
        <is>
          <t>위험 통제력</t>
        </is>
      </c>
      <c r="B78" s="16" t="inlineStr">
        <is>
          <t>도입</t>
        </is>
      </c>
      <c r="C78" s="9">
        <f>IFERROR(DCOUNT(코딩자료!$A$1:$BB$74,"Y5_위험통제력",$K$2:$L$3),"")</f>
        <v/>
      </c>
      <c r="D78" s="22">
        <f>IFERROR(DAVERAGE(코딩자료!$A$1:$BB$74,"Y5_위험통제력",$K$2:$L$3),"")</f>
        <v/>
      </c>
      <c r="E78" s="22">
        <f>IFERROR(DSTDEV(코딩자료!$A$1:$BB$74,"Y5_위험통제력",$K$2:$L$3),"")</f>
        <v/>
      </c>
      <c r="F78" s="23">
        <f>IFERROR(DMIN(코딩자료!$A$1:$BB$74,"Y5_위험통제력",$K$2:$L$3),"")</f>
        <v/>
      </c>
      <c r="G78" s="23">
        <f>IFERROR(DMAX(코딩자료!$A$1:$BB$74,"Y5_위험통제력",$K$2:$L$3),"")</f>
        <v/>
      </c>
    </row>
    <row r="79">
      <c r="A79" s="16" t="n"/>
      <c r="B79" s="16" t="inlineStr">
        <is>
          <t>미도입</t>
        </is>
      </c>
      <c r="C79" s="9">
        <f>IFERROR(DCOUNT(코딩자료!$A$1:$BB$74,"Y5_위험통제력",$K$5:$L$6),"")</f>
        <v/>
      </c>
      <c r="D79" s="22">
        <f>IFERROR(DAVERAGE(코딩자료!$A$1:$BB$74,"Y5_위험통제력",$K$5:$L$6),"")</f>
        <v/>
      </c>
      <c r="E79" s="22">
        <f>IFERROR(DSTDEV(코딩자료!$A$1:$BB$74,"Y5_위험통제력",$K$5:$L$6),"")</f>
        <v/>
      </c>
      <c r="F79" s="23">
        <f>IFERROR(DMIN(코딩자료!$A$1:$BB$74,"Y5_위험통제력",$K$5:$L$6),"")</f>
        <v/>
      </c>
      <c r="G79" s="23">
        <f>IFERROR(DMAX(코딩자료!$A$1:$BB$74,"Y5_위험통제력",$K$5:$L$6),"")</f>
        <v/>
      </c>
    </row>
    <row r="80">
      <c r="A80" s="16" t="n"/>
      <c r="B80" s="16" t="inlineStr">
        <is>
          <t>전체</t>
        </is>
      </c>
      <c r="C80" s="9">
        <f>IFERROR(DCOUNT(코딩자료!$A$1:$BB$74,"Y5_위험통제력",$K$8:$K$9),"")</f>
        <v/>
      </c>
      <c r="D80" s="22">
        <f>IFERROR(DAVERAGE(코딩자료!$A$1:$BB$74,"Y5_위험통제력",$K$8:$K$9),"")</f>
        <v/>
      </c>
      <c r="E80" s="22">
        <f>IFERROR(DSTDEV(코딩자료!$A$1:$BB$74,"Y5_위험통제력",$K$8:$K$9),"")</f>
        <v/>
      </c>
      <c r="F80" s="23">
        <f>IFERROR(DMIN(코딩자료!$A$1:$BB$74,"Y5_위험통제력",$K$8:$K$9),"")</f>
        <v/>
      </c>
      <c r="G80" s="23">
        <f>IFERROR(DMAX(코딩자료!$A$1:$BB$74,"Y5_위험통제력",$K$8:$K$9),"")</f>
        <v/>
      </c>
    </row>
    <row r="81">
      <c r="A81" s="16" t="inlineStr">
        <is>
          <t>안전관리 예산 제약성</t>
        </is>
      </c>
      <c r="B81" s="16" t="inlineStr">
        <is>
          <t>도입</t>
        </is>
      </c>
      <c r="C81" s="9">
        <f>IFERROR(DCOUNT(코딩자료!$A$1:$BB$74,"W_예산제약",$K$2:$L$3),"")</f>
        <v/>
      </c>
      <c r="D81" s="22">
        <f>IFERROR(DAVERAGE(코딩자료!$A$1:$BB$74,"W_예산제약",$K$2:$L$3),"")</f>
        <v/>
      </c>
      <c r="E81" s="22">
        <f>IFERROR(DSTDEV(코딩자료!$A$1:$BB$74,"W_예산제약",$K$2:$L$3),"")</f>
        <v/>
      </c>
      <c r="F81" s="23">
        <f>IFERROR(DMIN(코딩자료!$A$1:$BB$74,"W_예산제약",$K$2:$L$3),"")</f>
        <v/>
      </c>
      <c r="G81" s="23">
        <f>IFERROR(DMAX(코딩자료!$A$1:$BB$74,"W_예산제약",$K$2:$L$3),"")</f>
        <v/>
      </c>
    </row>
    <row r="82">
      <c r="A82" s="16" t="n"/>
      <c r="B82" s="16" t="inlineStr">
        <is>
          <t>미도입</t>
        </is>
      </c>
      <c r="C82" s="9">
        <f>IFERROR(DCOUNT(코딩자료!$A$1:$BB$74,"W_예산제약",$K$5:$L$6),"")</f>
        <v/>
      </c>
      <c r="D82" s="22">
        <f>IFERROR(DAVERAGE(코딩자료!$A$1:$BB$74,"W_예산제약",$K$5:$L$6),"")</f>
        <v/>
      </c>
      <c r="E82" s="22">
        <f>IFERROR(DSTDEV(코딩자료!$A$1:$BB$74,"W_예산제약",$K$5:$L$6),"")</f>
        <v/>
      </c>
      <c r="F82" s="23">
        <f>IFERROR(DMIN(코딩자료!$A$1:$BB$74,"W_예산제약",$K$5:$L$6),"")</f>
        <v/>
      </c>
      <c r="G82" s="23">
        <f>IFERROR(DMAX(코딩자료!$A$1:$BB$74,"W_예산제약",$K$5:$L$6),"")</f>
        <v/>
      </c>
    </row>
    <row r="83">
      <c r="A83" s="16" t="n"/>
      <c r="B83" s="16" t="inlineStr">
        <is>
          <t>전체</t>
        </is>
      </c>
      <c r="C83" s="9">
        <f>IFERROR(DCOUNT(코딩자료!$A$1:$BB$74,"W_예산제약",$K$8:$K$9),"")</f>
        <v/>
      </c>
      <c r="D83" s="22">
        <f>IFERROR(DAVERAGE(코딩자료!$A$1:$BB$74,"W_예산제약",$K$8:$K$9),"")</f>
        <v/>
      </c>
      <c r="E83" s="22">
        <f>IFERROR(DSTDEV(코딩자료!$A$1:$BB$74,"W_예산제약",$K$8:$K$9),"")</f>
        <v/>
      </c>
      <c r="F83" s="23">
        <f>IFERROR(DMIN(코딩자료!$A$1:$BB$74,"W_예산제약",$K$8:$K$9),"")</f>
        <v/>
      </c>
      <c r="G83" s="23">
        <f>IFERROR(DMAX(코딩자료!$A$1:$BB$74,"W_예산제약",$K$8:$K$9),"")</f>
        <v/>
      </c>
    </row>
    <row r="85">
      <c r="A85" s="12" t="inlineStr">
        <is>
          <t>표 5-3 패널 A(계속) — 도입 집단 참고 척도</t>
        </is>
      </c>
    </row>
    <row r="86">
      <c r="A86" s="4" t="inlineStr">
        <is>
          <t>변수</t>
        </is>
      </c>
      <c r="B86" s="4" t="inlineStr">
        <is>
          <t>집단</t>
        </is>
      </c>
      <c r="C86" s="4" t="inlineStr">
        <is>
          <t>n</t>
        </is>
      </c>
      <c r="D86" s="4" t="inlineStr">
        <is>
          <t>평균(M)</t>
        </is>
      </c>
      <c r="E86" s="4" t="inlineStr">
        <is>
          <t>표준편차(SD)</t>
        </is>
      </c>
      <c r="F86" s="4" t="inlineStr">
        <is>
          <t>최솟값</t>
        </is>
      </c>
      <c r="G86" s="4" t="inlineStr">
        <is>
          <t>최댓값</t>
        </is>
      </c>
    </row>
    <row r="87">
      <c r="A87" s="16" t="inlineStr">
        <is>
          <t>경보 피로도 완화 인식</t>
        </is>
      </c>
      <c r="B87" s="16" t="inlineStr">
        <is>
          <t>도입</t>
        </is>
      </c>
      <c r="C87" s="9">
        <f>IFERROR(DCOUNT(코딩자료!$A$1:$BB$74,"E_total",$K$2:$L$3),"")</f>
        <v/>
      </c>
      <c r="D87" s="22">
        <f>IFERROR(DAVERAGE(코딩자료!$A$1:$BB$74,"E_total",$K$2:$L$3),"")</f>
        <v/>
      </c>
      <c r="E87" s="22">
        <f>IFERROR(DSTDEV(코딩자료!$A$1:$BB$74,"E_total",$K$2:$L$3),"")</f>
        <v/>
      </c>
      <c r="F87" s="23">
        <f>IFERROR(DMIN(코딩자료!$A$1:$BB$74,"E_total",$K$2:$L$3),"")</f>
        <v/>
      </c>
      <c r="G87" s="23">
        <f>IFERROR(DMAX(코딩자료!$A$1:$BB$74,"E_total",$K$2:$L$3),"")</f>
        <v/>
      </c>
    </row>
    <row r="88">
      <c r="A88" s="16" t="inlineStr">
        <is>
          <t>시스템 특성 인식 전체</t>
        </is>
      </c>
      <c r="B88" s="16" t="inlineStr">
        <is>
          <t>도입</t>
        </is>
      </c>
      <c r="C88" s="9">
        <f>IFERROR(DCOUNT(코딩자료!$A$1:$BB$74,"D_total",$K$2:$L$3),"")</f>
        <v/>
      </c>
      <c r="D88" s="22">
        <f>IFERROR(DAVERAGE(코딩자료!$A$1:$BB$74,"D_total",$K$2:$L$3),"")</f>
        <v/>
      </c>
      <c r="E88" s="22">
        <f>IFERROR(DSTDEV(코딩자료!$A$1:$BB$74,"D_total",$K$2:$L$3),"")</f>
        <v/>
      </c>
      <c r="F88" s="23">
        <f>IFERROR(DMIN(코딩자료!$A$1:$BB$74,"D_total",$K$2:$L$3),"")</f>
        <v/>
      </c>
      <c r="G88" s="23">
        <f>IFERROR(DMAX(코딩자료!$A$1:$BB$74,"D_total",$K$2:$L$3),"")</f>
        <v/>
      </c>
    </row>
    <row r="89">
      <c r="A89" s="16" t="inlineStr">
        <is>
          <t>인프라 범용성</t>
        </is>
      </c>
      <c r="B89" s="16" t="inlineStr">
        <is>
          <t>도입</t>
        </is>
      </c>
      <c r="C89" s="9">
        <f>IFERROR(DCOUNT(코딩자료!$A$1:$BB$74,"D_sub1_인프라범용성",$K$2:$L$3),"")</f>
        <v/>
      </c>
      <c r="D89" s="22">
        <f>IFERROR(DAVERAGE(코딩자료!$A$1:$BB$74,"D_sub1_인프라범용성",$K$2:$L$3),"")</f>
        <v/>
      </c>
      <c r="E89" s="22">
        <f>IFERROR(DSTDEV(코딩자료!$A$1:$BB$74,"D_sub1_인프라범용성",$K$2:$L$3),"")</f>
        <v/>
      </c>
      <c r="F89" s="23">
        <f>IFERROR(DMIN(코딩자료!$A$1:$BB$74,"D_sub1_인프라범용성",$K$2:$L$3),"")</f>
        <v/>
      </c>
      <c r="G89" s="23">
        <f>IFERROR(DMAX(코딩자료!$A$1:$BB$74,"D_sub1_인프라범용성",$K$2:$L$3),"")</f>
        <v/>
      </c>
    </row>
    <row r="90">
      <c r="A90" s="16" t="inlineStr">
        <is>
          <t>탐지·제어 안정성</t>
        </is>
      </c>
      <c r="B90" s="16" t="inlineStr">
        <is>
          <t>도입</t>
        </is>
      </c>
      <c r="C90" s="9">
        <f>IFERROR(DCOUNT(코딩자료!$A$1:$BB$74,"D_sub2_탐지제어안정성",$K$2:$L$3),"")</f>
        <v/>
      </c>
      <c r="D90" s="22">
        <f>IFERROR(DAVERAGE(코딩자료!$A$1:$BB$74,"D_sub2_탐지제어안정성",$K$2:$L$3),"")</f>
        <v/>
      </c>
      <c r="E90" s="22">
        <f>IFERROR(DSTDEV(코딩자료!$A$1:$BB$74,"D_sub2_탐지제어안정성",$K$2:$L$3),"")</f>
        <v/>
      </c>
      <c r="F90" s="23">
        <f>IFERROR(DMIN(코딩자료!$A$1:$BB$74,"D_sub2_탐지제어안정성",$K$2:$L$3),"")</f>
        <v/>
      </c>
      <c r="G90" s="23">
        <f>IFERROR(DMAX(코딩자료!$A$1:$BB$74,"D_sub2_탐지제어안정성",$K$2:$L$3),"")</f>
        <v/>
      </c>
    </row>
    <row r="91">
      <c r="A91" s="16" t="inlineStr">
        <is>
          <t>오탐 필터링</t>
        </is>
      </c>
      <c r="B91" s="16" t="inlineStr">
        <is>
          <t>도입</t>
        </is>
      </c>
      <c r="C91" s="9">
        <f>IFERROR(DCOUNT(코딩자료!$A$1:$BB$74,"D_sub3_오탐필터링",$K$2:$L$3),"")</f>
        <v/>
      </c>
      <c r="D91" s="22">
        <f>IFERROR(DAVERAGE(코딩자료!$A$1:$BB$74,"D_sub3_오탐필터링",$K$2:$L$3),"")</f>
        <v/>
      </c>
      <c r="E91" s="22">
        <f>IFERROR(DSTDEV(코딩자료!$A$1:$BB$74,"D_sub3_오탐필터링",$K$2:$L$3),"")</f>
        <v/>
      </c>
      <c r="F91" s="23">
        <f>IFERROR(DMIN(코딩자료!$A$1:$BB$74,"D_sub3_오탐필터링",$K$2:$L$3),"")</f>
        <v/>
      </c>
      <c r="G91" s="23">
        <f>IFERROR(DMAX(코딩자료!$A$1:$BB$74,"D_sub3_오탐필터링",$K$2:$L$3),"")</f>
        <v/>
      </c>
    </row>
    <row r="92">
      <c r="A92" s="16" t="inlineStr">
        <is>
          <t>알림 전파 즉각성</t>
        </is>
      </c>
      <c r="B92" s="16" t="inlineStr">
        <is>
          <t>도입</t>
        </is>
      </c>
      <c r="C92" s="9">
        <f>IFERROR(DCOUNT(코딩자료!$A$1:$BB$74,"D_sub4_알림전파즉각성",$K$2:$L$3),"")</f>
        <v/>
      </c>
      <c r="D92" s="22">
        <f>IFERROR(DAVERAGE(코딩자료!$A$1:$BB$74,"D_sub4_알림전파즉각성",$K$2:$L$3),"")</f>
        <v/>
      </c>
      <c r="E92" s="22">
        <f>IFERROR(DSTDEV(코딩자료!$A$1:$BB$74,"D_sub4_알림전파즉각성",$K$2:$L$3),"")</f>
        <v/>
      </c>
      <c r="F92" s="23">
        <f>IFERROR(DMIN(코딩자료!$A$1:$BB$74,"D_sub4_알림전파즉각성",$K$2:$L$3),"")</f>
        <v/>
      </c>
      <c r="G92" s="23">
        <f>IFERROR(DMAX(코딩자료!$A$1:$BB$74,"D_sub4_알림전파즉각성",$K$2:$L$3),"")</f>
        <v/>
      </c>
    </row>
    <row r="94">
      <c r="A94" s="12" t="inlineStr">
        <is>
          <t>표 5-3 패널 B — D·E 문항별 응답 상태와 기술통계(도입 집단)</t>
        </is>
      </c>
    </row>
    <row r="95">
      <c r="A95" s="14" t="inlineStr">
        <is>
          <t>일반 무응답 = 도입 집단 include=1 인원 − 유효 응답 수. 경험 부재 비해당 선택지는 설문에 없음(—).</t>
        </is>
      </c>
    </row>
    <row r="96" ht="32" customHeight="1">
      <c r="A96" s="4" t="inlineStr">
        <is>
          <t>문항</t>
        </is>
      </c>
      <c r="B96" s="4" t="inlineStr">
        <is>
          <t>집단</t>
        </is>
      </c>
      <c r="C96" s="4" t="inlineStr">
        <is>
          <t>유효 응답 수</t>
        </is>
      </c>
      <c r="D96" s="4" t="inlineStr">
        <is>
          <t>일반 무응답 수</t>
        </is>
      </c>
      <c r="E96" s="4" t="inlineStr">
        <is>
          <t>평균(M)</t>
        </is>
      </c>
      <c r="F96" s="4" t="inlineStr">
        <is>
          <t>표준편차(SD)</t>
        </is>
      </c>
    </row>
    <row r="97">
      <c r="A97" s="16" t="inlineStr">
        <is>
          <t>D-1</t>
        </is>
      </c>
      <c r="B97" s="16" t="inlineStr">
        <is>
          <t>도입</t>
        </is>
      </c>
      <c r="C97" s="9">
        <f>DCOUNT(코딩자료!$A$1:$BB$74,"D1",$K$2:$L$3)</f>
        <v/>
      </c>
      <c r="D97" s="9">
        <f>COUNTIFS(코딩자료!$C$2:$C$74,1,코딩자료!$BA$2:$BA$74,1)-C97</f>
        <v/>
      </c>
      <c r="E97" s="22">
        <f>IFERROR(DAVERAGE(코딩자료!$A$1:$BB$74,"D1",$K$2:$L$3),"")</f>
        <v/>
      </c>
      <c r="F97" s="22">
        <f>IFERROR(DSTDEV(코딩자료!$A$1:$BB$74,"D1",$K$2:$L$3),"")</f>
        <v/>
      </c>
    </row>
    <row r="98">
      <c r="A98" s="16" t="inlineStr">
        <is>
          <t>D-2</t>
        </is>
      </c>
      <c r="B98" s="16" t="inlineStr">
        <is>
          <t>도입</t>
        </is>
      </c>
      <c r="C98" s="9">
        <f>DCOUNT(코딩자료!$A$1:$BB$74,"D2",$K$2:$L$3)</f>
        <v/>
      </c>
      <c r="D98" s="9">
        <f>COUNTIFS(코딩자료!$C$2:$C$74,1,코딩자료!$BA$2:$BA$74,1)-C98</f>
        <v/>
      </c>
      <c r="E98" s="22">
        <f>IFERROR(DAVERAGE(코딩자료!$A$1:$BB$74,"D2",$K$2:$L$3),"")</f>
        <v/>
      </c>
      <c r="F98" s="22">
        <f>IFERROR(DSTDEV(코딩자료!$A$1:$BB$74,"D2",$K$2:$L$3),"")</f>
        <v/>
      </c>
    </row>
    <row r="99">
      <c r="A99" s="16" t="inlineStr">
        <is>
          <t>D-3</t>
        </is>
      </c>
      <c r="B99" s="16" t="inlineStr">
        <is>
          <t>도입</t>
        </is>
      </c>
      <c r="C99" s="9">
        <f>DCOUNT(코딩자료!$A$1:$BB$74,"D3",$K$2:$L$3)</f>
        <v/>
      </c>
      <c r="D99" s="9">
        <f>COUNTIFS(코딩자료!$C$2:$C$74,1,코딩자료!$BA$2:$BA$74,1)-C99</f>
        <v/>
      </c>
      <c r="E99" s="22">
        <f>IFERROR(DAVERAGE(코딩자료!$A$1:$BB$74,"D3",$K$2:$L$3),"")</f>
        <v/>
      </c>
      <c r="F99" s="22">
        <f>IFERROR(DSTDEV(코딩자료!$A$1:$BB$74,"D3",$K$2:$L$3),"")</f>
        <v/>
      </c>
    </row>
    <row r="100">
      <c r="A100" s="16" t="inlineStr">
        <is>
          <t>D-4</t>
        </is>
      </c>
      <c r="B100" s="16" t="inlineStr">
        <is>
          <t>도입</t>
        </is>
      </c>
      <c r="C100" s="9">
        <f>DCOUNT(코딩자료!$A$1:$BB$74,"D4",$K$2:$L$3)</f>
        <v/>
      </c>
      <c r="D100" s="9">
        <f>COUNTIFS(코딩자료!$C$2:$C$74,1,코딩자료!$BA$2:$BA$74,1)-C100</f>
        <v/>
      </c>
      <c r="E100" s="22">
        <f>IFERROR(DAVERAGE(코딩자료!$A$1:$BB$74,"D4",$K$2:$L$3),"")</f>
        <v/>
      </c>
      <c r="F100" s="22">
        <f>IFERROR(DSTDEV(코딩자료!$A$1:$BB$74,"D4",$K$2:$L$3),"")</f>
        <v/>
      </c>
    </row>
    <row r="101">
      <c r="A101" s="16" t="inlineStr">
        <is>
          <t>D-5</t>
        </is>
      </c>
      <c r="B101" s="16" t="inlineStr">
        <is>
          <t>도입</t>
        </is>
      </c>
      <c r="C101" s="9">
        <f>DCOUNT(코딩자료!$A$1:$BB$74,"D5",$K$2:$L$3)</f>
        <v/>
      </c>
      <c r="D101" s="9">
        <f>COUNTIFS(코딩자료!$C$2:$C$74,1,코딩자료!$BA$2:$BA$74,1)-C101</f>
        <v/>
      </c>
      <c r="E101" s="22">
        <f>IFERROR(DAVERAGE(코딩자료!$A$1:$BB$74,"D5",$K$2:$L$3),"")</f>
        <v/>
      </c>
      <c r="F101" s="22">
        <f>IFERROR(DSTDEV(코딩자료!$A$1:$BB$74,"D5",$K$2:$L$3),"")</f>
        <v/>
      </c>
    </row>
    <row r="102">
      <c r="A102" s="16" t="inlineStr">
        <is>
          <t>D-6</t>
        </is>
      </c>
      <c r="B102" s="16" t="inlineStr">
        <is>
          <t>도입</t>
        </is>
      </c>
      <c r="C102" s="9">
        <f>DCOUNT(코딩자료!$A$1:$BB$74,"D6",$K$2:$L$3)</f>
        <v/>
      </c>
      <c r="D102" s="9">
        <f>COUNTIFS(코딩자료!$C$2:$C$74,1,코딩자료!$BA$2:$BA$74,1)-C102</f>
        <v/>
      </c>
      <c r="E102" s="22">
        <f>IFERROR(DAVERAGE(코딩자료!$A$1:$BB$74,"D6",$K$2:$L$3),"")</f>
        <v/>
      </c>
      <c r="F102" s="22">
        <f>IFERROR(DSTDEV(코딩자료!$A$1:$BB$74,"D6",$K$2:$L$3),"")</f>
        <v/>
      </c>
    </row>
    <row r="103">
      <c r="A103" s="16" t="inlineStr">
        <is>
          <t>D-7</t>
        </is>
      </c>
      <c r="B103" s="16" t="inlineStr">
        <is>
          <t>도입</t>
        </is>
      </c>
      <c r="C103" s="9">
        <f>DCOUNT(코딩자료!$A$1:$BB$74,"D7",$K$2:$L$3)</f>
        <v/>
      </c>
      <c r="D103" s="9">
        <f>COUNTIFS(코딩자료!$C$2:$C$74,1,코딩자료!$BA$2:$BA$74,1)-C103</f>
        <v/>
      </c>
      <c r="E103" s="22">
        <f>IFERROR(DAVERAGE(코딩자료!$A$1:$BB$74,"D7",$K$2:$L$3),"")</f>
        <v/>
      </c>
      <c r="F103" s="22">
        <f>IFERROR(DSTDEV(코딩자료!$A$1:$BB$74,"D7",$K$2:$L$3),"")</f>
        <v/>
      </c>
    </row>
    <row r="104">
      <c r="A104" s="16" t="inlineStr">
        <is>
          <t>D-8</t>
        </is>
      </c>
      <c r="B104" s="16" t="inlineStr">
        <is>
          <t>도입</t>
        </is>
      </c>
      <c r="C104" s="9">
        <f>DCOUNT(코딩자료!$A$1:$BB$74,"D8",$K$2:$L$3)</f>
        <v/>
      </c>
      <c r="D104" s="9">
        <f>COUNTIFS(코딩자료!$C$2:$C$74,1,코딩자료!$BA$2:$BA$74,1)-C104</f>
        <v/>
      </c>
      <c r="E104" s="22">
        <f>IFERROR(DAVERAGE(코딩자료!$A$1:$BB$74,"D8",$K$2:$L$3),"")</f>
        <v/>
      </c>
      <c r="F104" s="22">
        <f>IFERROR(DSTDEV(코딩자료!$A$1:$BB$74,"D8",$K$2:$L$3),"")</f>
        <v/>
      </c>
    </row>
    <row r="105">
      <c r="A105" s="16" t="inlineStr">
        <is>
          <t>E-1</t>
        </is>
      </c>
      <c r="B105" s="16" t="inlineStr">
        <is>
          <t>도입</t>
        </is>
      </c>
      <c r="C105" s="9">
        <f>DCOUNT(코딩자료!$A$1:$BB$74,"E1",$K$2:$L$3)</f>
        <v/>
      </c>
      <c r="D105" s="9">
        <f>COUNTIFS(코딩자료!$C$2:$C$74,1,코딩자료!$BA$2:$BA$74,1)-C105</f>
        <v/>
      </c>
      <c r="E105" s="22">
        <f>IFERROR(DAVERAGE(코딩자료!$A$1:$BB$74,"E1",$K$2:$L$3),"")</f>
        <v/>
      </c>
      <c r="F105" s="22">
        <f>IFERROR(DSTDEV(코딩자료!$A$1:$BB$74,"E1",$K$2:$L$3),"")</f>
        <v/>
      </c>
    </row>
    <row r="106">
      <c r="A106" s="16" t="inlineStr">
        <is>
          <t>E-2</t>
        </is>
      </c>
      <c r="B106" s="16" t="inlineStr">
        <is>
          <t>도입</t>
        </is>
      </c>
      <c r="C106" s="9">
        <f>DCOUNT(코딩자료!$A$1:$BB$74,"E2",$K$2:$L$3)</f>
        <v/>
      </c>
      <c r="D106" s="9">
        <f>COUNTIFS(코딩자료!$C$2:$C$74,1,코딩자료!$BA$2:$BA$74,1)-C106</f>
        <v/>
      </c>
      <c r="E106" s="22">
        <f>IFERROR(DAVERAGE(코딩자료!$A$1:$BB$74,"E2",$K$2:$L$3),"")</f>
        <v/>
      </c>
      <c r="F106" s="22">
        <f>IFERROR(DSTDEV(코딩자료!$A$1:$BB$74,"E2",$K$2:$L$3),"")</f>
        <v/>
      </c>
    </row>
    <row r="107">
      <c r="A107" s="16" t="inlineStr">
        <is>
          <t>E-3</t>
        </is>
      </c>
      <c r="B107" s="16" t="inlineStr">
        <is>
          <t>도입</t>
        </is>
      </c>
      <c r="C107" s="9">
        <f>DCOUNT(코딩자료!$A$1:$BB$74,"E3",$K$2:$L$3)</f>
        <v/>
      </c>
      <c r="D107" s="9">
        <f>COUNTIFS(코딩자료!$C$2:$C$74,1,코딩자료!$BA$2:$BA$74,1)-C107</f>
        <v/>
      </c>
      <c r="E107" s="22">
        <f>IFERROR(DAVERAGE(코딩자료!$A$1:$BB$74,"E3",$K$2:$L$3),"")</f>
        <v/>
      </c>
      <c r="F107" s="22">
        <f>IFERROR(DSTDEV(코딩자료!$A$1:$BB$74,"E3",$K$2:$L$3),"")</f>
        <v/>
      </c>
    </row>
    <row r="108">
      <c r="A108" s="16" t="inlineStr">
        <is>
          <t>E-4</t>
        </is>
      </c>
      <c r="B108" s="16" t="inlineStr">
        <is>
          <t>도입</t>
        </is>
      </c>
      <c r="C108" s="9">
        <f>DCOUNT(코딩자료!$A$1:$BB$74,"E4",$K$2:$L$3)</f>
        <v/>
      </c>
      <c r="D108" s="9">
        <f>COUNTIFS(코딩자료!$C$2:$C$74,1,코딩자료!$BA$2:$BA$74,1)-C108</f>
        <v/>
      </c>
      <c r="E108" s="22">
        <f>IFERROR(DAVERAGE(코딩자료!$A$1:$BB$74,"E4",$K$2:$L$3),"")</f>
        <v/>
      </c>
      <c r="F108" s="22">
        <f>IFERROR(DSTDEV(코딩자료!$A$1:$BB$74,"E4",$K$2:$L$3),"")</f>
        <v/>
      </c>
    </row>
    <row r="110">
      <c r="A110" s="12" t="inlineStr">
        <is>
          <t>부가 — B·C 문항별 기술통계(집단별)</t>
        </is>
      </c>
    </row>
    <row r="111">
      <c r="A111" s="4" t="inlineStr">
        <is>
          <t>변수</t>
        </is>
      </c>
      <c r="B111" s="4" t="inlineStr">
        <is>
          <t>집단</t>
        </is>
      </c>
      <c r="C111" s="4" t="inlineStr">
        <is>
          <t>n</t>
        </is>
      </c>
      <c r="D111" s="4" t="inlineStr">
        <is>
          <t>평균(M)</t>
        </is>
      </c>
      <c r="E111" s="4" t="inlineStr">
        <is>
          <t>표준편차(SD)</t>
        </is>
      </c>
      <c r="F111" s="4" t="inlineStr">
        <is>
          <t>최솟값</t>
        </is>
      </c>
      <c r="G111" s="4" t="inlineStr">
        <is>
          <t>최댓값</t>
        </is>
      </c>
    </row>
    <row r="112">
      <c r="A112" s="16" t="inlineStr">
        <is>
          <t>B-1</t>
        </is>
      </c>
      <c r="B112" s="16" t="inlineStr">
        <is>
          <t>도입</t>
        </is>
      </c>
      <c r="C112" s="9">
        <f>IFERROR(DCOUNT(코딩자료!$A$1:$BB$74,"B1",$K$2:$L$3),"")</f>
        <v/>
      </c>
      <c r="D112" s="22">
        <f>IFERROR(DAVERAGE(코딩자료!$A$1:$BB$74,"B1",$K$2:$L$3),"")</f>
        <v/>
      </c>
      <c r="E112" s="22">
        <f>IFERROR(DSTDEV(코딩자료!$A$1:$BB$74,"B1",$K$2:$L$3),"")</f>
        <v/>
      </c>
      <c r="F112" s="23">
        <f>IFERROR(DMIN(코딩자료!$A$1:$BB$74,"B1",$K$2:$L$3),"")</f>
        <v/>
      </c>
      <c r="G112" s="23">
        <f>IFERROR(DMAX(코딩자료!$A$1:$BB$74,"B1",$K$2:$L$3),"")</f>
        <v/>
      </c>
    </row>
    <row r="113">
      <c r="A113" s="16" t="n"/>
      <c r="B113" s="16" t="inlineStr">
        <is>
          <t>미도입</t>
        </is>
      </c>
      <c r="C113" s="9">
        <f>IFERROR(DCOUNT(코딩자료!$A$1:$BB$74,"B1",$K$5:$L$6),"")</f>
        <v/>
      </c>
      <c r="D113" s="22">
        <f>IFERROR(DAVERAGE(코딩자료!$A$1:$BB$74,"B1",$K$5:$L$6),"")</f>
        <v/>
      </c>
      <c r="E113" s="22">
        <f>IFERROR(DSTDEV(코딩자료!$A$1:$BB$74,"B1",$K$5:$L$6),"")</f>
        <v/>
      </c>
      <c r="F113" s="23">
        <f>IFERROR(DMIN(코딩자료!$A$1:$BB$74,"B1",$K$5:$L$6),"")</f>
        <v/>
      </c>
      <c r="G113" s="23">
        <f>IFERROR(DMAX(코딩자료!$A$1:$BB$74,"B1",$K$5:$L$6),"")</f>
        <v/>
      </c>
    </row>
    <row r="114">
      <c r="A114" s="16" t="n"/>
      <c r="B114" s="16" t="inlineStr">
        <is>
          <t>전체</t>
        </is>
      </c>
      <c r="C114" s="9">
        <f>IFERROR(DCOUNT(코딩자료!$A$1:$BB$74,"B1",$K$8:$K$9),"")</f>
        <v/>
      </c>
      <c r="D114" s="22">
        <f>IFERROR(DAVERAGE(코딩자료!$A$1:$BB$74,"B1",$K$8:$K$9),"")</f>
        <v/>
      </c>
      <c r="E114" s="22">
        <f>IFERROR(DSTDEV(코딩자료!$A$1:$BB$74,"B1",$K$8:$K$9),"")</f>
        <v/>
      </c>
      <c r="F114" s="23">
        <f>IFERROR(DMIN(코딩자료!$A$1:$BB$74,"B1",$K$8:$K$9),"")</f>
        <v/>
      </c>
      <c r="G114" s="23">
        <f>IFERROR(DMAX(코딩자료!$A$1:$BB$74,"B1",$K$8:$K$9),"")</f>
        <v/>
      </c>
    </row>
    <row r="115">
      <c r="A115" s="16" t="inlineStr">
        <is>
          <t>B-2</t>
        </is>
      </c>
      <c r="B115" s="16" t="inlineStr">
        <is>
          <t>도입</t>
        </is>
      </c>
      <c r="C115" s="9">
        <f>IFERROR(DCOUNT(코딩자료!$A$1:$BB$74,"B2",$K$2:$L$3),"")</f>
        <v/>
      </c>
      <c r="D115" s="22">
        <f>IFERROR(DAVERAGE(코딩자료!$A$1:$BB$74,"B2",$K$2:$L$3),"")</f>
        <v/>
      </c>
      <c r="E115" s="22">
        <f>IFERROR(DSTDEV(코딩자료!$A$1:$BB$74,"B2",$K$2:$L$3),"")</f>
        <v/>
      </c>
      <c r="F115" s="23">
        <f>IFERROR(DMIN(코딩자료!$A$1:$BB$74,"B2",$K$2:$L$3),"")</f>
        <v/>
      </c>
      <c r="G115" s="23">
        <f>IFERROR(DMAX(코딩자료!$A$1:$BB$74,"B2",$K$2:$L$3),"")</f>
        <v/>
      </c>
    </row>
    <row r="116">
      <c r="A116" s="16" t="n"/>
      <c r="B116" s="16" t="inlineStr">
        <is>
          <t>미도입</t>
        </is>
      </c>
      <c r="C116" s="9">
        <f>IFERROR(DCOUNT(코딩자료!$A$1:$BB$74,"B2",$K$5:$L$6),"")</f>
        <v/>
      </c>
      <c r="D116" s="22">
        <f>IFERROR(DAVERAGE(코딩자료!$A$1:$BB$74,"B2",$K$5:$L$6),"")</f>
        <v/>
      </c>
      <c r="E116" s="22">
        <f>IFERROR(DSTDEV(코딩자료!$A$1:$BB$74,"B2",$K$5:$L$6),"")</f>
        <v/>
      </c>
      <c r="F116" s="23">
        <f>IFERROR(DMIN(코딩자료!$A$1:$BB$74,"B2",$K$5:$L$6),"")</f>
        <v/>
      </c>
      <c r="G116" s="23">
        <f>IFERROR(DMAX(코딩자료!$A$1:$BB$74,"B2",$K$5:$L$6),"")</f>
        <v/>
      </c>
    </row>
    <row r="117">
      <c r="A117" s="16" t="n"/>
      <c r="B117" s="16" t="inlineStr">
        <is>
          <t>전체</t>
        </is>
      </c>
      <c r="C117" s="9">
        <f>IFERROR(DCOUNT(코딩자료!$A$1:$BB$74,"B2",$K$8:$K$9),"")</f>
        <v/>
      </c>
      <c r="D117" s="22">
        <f>IFERROR(DAVERAGE(코딩자료!$A$1:$BB$74,"B2",$K$8:$K$9),"")</f>
        <v/>
      </c>
      <c r="E117" s="22">
        <f>IFERROR(DSTDEV(코딩자료!$A$1:$BB$74,"B2",$K$8:$K$9),"")</f>
        <v/>
      </c>
      <c r="F117" s="23">
        <f>IFERROR(DMIN(코딩자료!$A$1:$BB$74,"B2",$K$8:$K$9),"")</f>
        <v/>
      </c>
      <c r="G117" s="23">
        <f>IFERROR(DMAX(코딩자료!$A$1:$BB$74,"B2",$K$8:$K$9),"")</f>
        <v/>
      </c>
    </row>
    <row r="118">
      <c r="A118" s="16" t="inlineStr">
        <is>
          <t>B-3</t>
        </is>
      </c>
      <c r="B118" s="16" t="inlineStr">
        <is>
          <t>도입</t>
        </is>
      </c>
      <c r="C118" s="9">
        <f>IFERROR(DCOUNT(코딩자료!$A$1:$BB$74,"B3",$K$2:$L$3),"")</f>
        <v/>
      </c>
      <c r="D118" s="22">
        <f>IFERROR(DAVERAGE(코딩자료!$A$1:$BB$74,"B3",$K$2:$L$3),"")</f>
        <v/>
      </c>
      <c r="E118" s="22">
        <f>IFERROR(DSTDEV(코딩자료!$A$1:$BB$74,"B3",$K$2:$L$3),"")</f>
        <v/>
      </c>
      <c r="F118" s="23">
        <f>IFERROR(DMIN(코딩자료!$A$1:$BB$74,"B3",$K$2:$L$3),"")</f>
        <v/>
      </c>
      <c r="G118" s="23">
        <f>IFERROR(DMAX(코딩자료!$A$1:$BB$74,"B3",$K$2:$L$3),"")</f>
        <v/>
      </c>
    </row>
    <row r="119">
      <c r="A119" s="16" t="n"/>
      <c r="B119" s="16" t="inlineStr">
        <is>
          <t>미도입</t>
        </is>
      </c>
      <c r="C119" s="9">
        <f>IFERROR(DCOUNT(코딩자료!$A$1:$BB$74,"B3",$K$5:$L$6),"")</f>
        <v/>
      </c>
      <c r="D119" s="22">
        <f>IFERROR(DAVERAGE(코딩자료!$A$1:$BB$74,"B3",$K$5:$L$6),"")</f>
        <v/>
      </c>
      <c r="E119" s="22">
        <f>IFERROR(DSTDEV(코딩자료!$A$1:$BB$74,"B3",$K$5:$L$6),"")</f>
        <v/>
      </c>
      <c r="F119" s="23">
        <f>IFERROR(DMIN(코딩자료!$A$1:$BB$74,"B3",$K$5:$L$6),"")</f>
        <v/>
      </c>
      <c r="G119" s="23">
        <f>IFERROR(DMAX(코딩자료!$A$1:$BB$74,"B3",$K$5:$L$6),"")</f>
        <v/>
      </c>
    </row>
    <row r="120">
      <c r="A120" s="16" t="n"/>
      <c r="B120" s="16" t="inlineStr">
        <is>
          <t>전체</t>
        </is>
      </c>
      <c r="C120" s="9">
        <f>IFERROR(DCOUNT(코딩자료!$A$1:$BB$74,"B3",$K$8:$K$9),"")</f>
        <v/>
      </c>
      <c r="D120" s="22">
        <f>IFERROR(DAVERAGE(코딩자료!$A$1:$BB$74,"B3",$K$8:$K$9),"")</f>
        <v/>
      </c>
      <c r="E120" s="22">
        <f>IFERROR(DSTDEV(코딩자료!$A$1:$BB$74,"B3",$K$8:$K$9),"")</f>
        <v/>
      </c>
      <c r="F120" s="23">
        <f>IFERROR(DMIN(코딩자료!$A$1:$BB$74,"B3",$K$8:$K$9),"")</f>
        <v/>
      </c>
      <c r="G120" s="23">
        <f>IFERROR(DMAX(코딩자료!$A$1:$BB$74,"B3",$K$8:$K$9),"")</f>
        <v/>
      </c>
    </row>
    <row r="121">
      <c r="A121" s="16" t="inlineStr">
        <is>
          <t>B-4</t>
        </is>
      </c>
      <c r="B121" s="16" t="inlineStr">
        <is>
          <t>도입</t>
        </is>
      </c>
      <c r="C121" s="9">
        <f>IFERROR(DCOUNT(코딩자료!$A$1:$BB$74,"B4",$K$2:$L$3),"")</f>
        <v/>
      </c>
      <c r="D121" s="22">
        <f>IFERROR(DAVERAGE(코딩자료!$A$1:$BB$74,"B4",$K$2:$L$3),"")</f>
        <v/>
      </c>
      <c r="E121" s="22">
        <f>IFERROR(DSTDEV(코딩자료!$A$1:$BB$74,"B4",$K$2:$L$3),"")</f>
        <v/>
      </c>
      <c r="F121" s="23">
        <f>IFERROR(DMIN(코딩자료!$A$1:$BB$74,"B4",$K$2:$L$3),"")</f>
        <v/>
      </c>
      <c r="G121" s="23">
        <f>IFERROR(DMAX(코딩자료!$A$1:$BB$74,"B4",$K$2:$L$3),"")</f>
        <v/>
      </c>
    </row>
    <row r="122">
      <c r="A122" s="16" t="n"/>
      <c r="B122" s="16" t="inlineStr">
        <is>
          <t>미도입</t>
        </is>
      </c>
      <c r="C122" s="9">
        <f>IFERROR(DCOUNT(코딩자료!$A$1:$BB$74,"B4",$K$5:$L$6),"")</f>
        <v/>
      </c>
      <c r="D122" s="22">
        <f>IFERROR(DAVERAGE(코딩자료!$A$1:$BB$74,"B4",$K$5:$L$6),"")</f>
        <v/>
      </c>
      <c r="E122" s="22">
        <f>IFERROR(DSTDEV(코딩자료!$A$1:$BB$74,"B4",$K$5:$L$6),"")</f>
        <v/>
      </c>
      <c r="F122" s="23">
        <f>IFERROR(DMIN(코딩자료!$A$1:$BB$74,"B4",$K$5:$L$6),"")</f>
        <v/>
      </c>
      <c r="G122" s="23">
        <f>IFERROR(DMAX(코딩자료!$A$1:$BB$74,"B4",$K$5:$L$6),"")</f>
        <v/>
      </c>
    </row>
    <row r="123">
      <c r="A123" s="16" t="n"/>
      <c r="B123" s="16" t="inlineStr">
        <is>
          <t>전체</t>
        </is>
      </c>
      <c r="C123" s="9">
        <f>IFERROR(DCOUNT(코딩자료!$A$1:$BB$74,"B4",$K$8:$K$9),"")</f>
        <v/>
      </c>
      <c r="D123" s="22">
        <f>IFERROR(DAVERAGE(코딩자료!$A$1:$BB$74,"B4",$K$8:$K$9),"")</f>
        <v/>
      </c>
      <c r="E123" s="22">
        <f>IFERROR(DSTDEV(코딩자료!$A$1:$BB$74,"B4",$K$8:$K$9),"")</f>
        <v/>
      </c>
      <c r="F123" s="23">
        <f>IFERROR(DMIN(코딩자료!$A$1:$BB$74,"B4",$K$8:$K$9),"")</f>
        <v/>
      </c>
      <c r="G123" s="23">
        <f>IFERROR(DMAX(코딩자료!$A$1:$BB$74,"B4",$K$8:$K$9),"")</f>
        <v/>
      </c>
    </row>
    <row r="124">
      <c r="A124" s="16" t="inlineStr">
        <is>
          <t>B-5</t>
        </is>
      </c>
      <c r="B124" s="16" t="inlineStr">
        <is>
          <t>도입</t>
        </is>
      </c>
      <c r="C124" s="9">
        <f>IFERROR(DCOUNT(코딩자료!$A$1:$BB$74,"B5",$K$2:$L$3),"")</f>
        <v/>
      </c>
      <c r="D124" s="22">
        <f>IFERROR(DAVERAGE(코딩자료!$A$1:$BB$74,"B5",$K$2:$L$3),"")</f>
        <v/>
      </c>
      <c r="E124" s="22">
        <f>IFERROR(DSTDEV(코딩자료!$A$1:$BB$74,"B5",$K$2:$L$3),"")</f>
        <v/>
      </c>
      <c r="F124" s="23">
        <f>IFERROR(DMIN(코딩자료!$A$1:$BB$74,"B5",$K$2:$L$3),"")</f>
        <v/>
      </c>
      <c r="G124" s="23">
        <f>IFERROR(DMAX(코딩자료!$A$1:$BB$74,"B5",$K$2:$L$3),"")</f>
        <v/>
      </c>
    </row>
    <row r="125">
      <c r="A125" s="16" t="n"/>
      <c r="B125" s="16" t="inlineStr">
        <is>
          <t>미도입</t>
        </is>
      </c>
      <c r="C125" s="9">
        <f>IFERROR(DCOUNT(코딩자료!$A$1:$BB$74,"B5",$K$5:$L$6),"")</f>
        <v/>
      </c>
      <c r="D125" s="22">
        <f>IFERROR(DAVERAGE(코딩자료!$A$1:$BB$74,"B5",$K$5:$L$6),"")</f>
        <v/>
      </c>
      <c r="E125" s="22">
        <f>IFERROR(DSTDEV(코딩자료!$A$1:$BB$74,"B5",$K$5:$L$6),"")</f>
        <v/>
      </c>
      <c r="F125" s="23">
        <f>IFERROR(DMIN(코딩자료!$A$1:$BB$74,"B5",$K$5:$L$6),"")</f>
        <v/>
      </c>
      <c r="G125" s="23">
        <f>IFERROR(DMAX(코딩자료!$A$1:$BB$74,"B5",$K$5:$L$6),"")</f>
        <v/>
      </c>
    </row>
    <row r="126">
      <c r="A126" s="16" t="n"/>
      <c r="B126" s="16" t="inlineStr">
        <is>
          <t>전체</t>
        </is>
      </c>
      <c r="C126" s="9">
        <f>IFERROR(DCOUNT(코딩자료!$A$1:$BB$74,"B5",$K$8:$K$9),"")</f>
        <v/>
      </c>
      <c r="D126" s="22">
        <f>IFERROR(DAVERAGE(코딩자료!$A$1:$BB$74,"B5",$K$8:$K$9),"")</f>
        <v/>
      </c>
      <c r="E126" s="22">
        <f>IFERROR(DSTDEV(코딩자료!$A$1:$BB$74,"B5",$K$8:$K$9),"")</f>
        <v/>
      </c>
      <c r="F126" s="23">
        <f>IFERROR(DMIN(코딩자료!$A$1:$BB$74,"B5",$K$8:$K$9),"")</f>
        <v/>
      </c>
      <c r="G126" s="23">
        <f>IFERROR(DMAX(코딩자료!$A$1:$BB$74,"B5",$K$8:$K$9),"")</f>
        <v/>
      </c>
    </row>
    <row r="127">
      <c r="A127" s="16" t="inlineStr">
        <is>
          <t>B-6</t>
        </is>
      </c>
      <c r="B127" s="16" t="inlineStr">
        <is>
          <t>도입</t>
        </is>
      </c>
      <c r="C127" s="9">
        <f>IFERROR(DCOUNT(코딩자료!$A$1:$BB$74,"B6",$K$2:$L$3),"")</f>
        <v/>
      </c>
      <c r="D127" s="22">
        <f>IFERROR(DAVERAGE(코딩자료!$A$1:$BB$74,"B6",$K$2:$L$3),"")</f>
        <v/>
      </c>
      <c r="E127" s="22">
        <f>IFERROR(DSTDEV(코딩자료!$A$1:$BB$74,"B6",$K$2:$L$3),"")</f>
        <v/>
      </c>
      <c r="F127" s="23">
        <f>IFERROR(DMIN(코딩자료!$A$1:$BB$74,"B6",$K$2:$L$3),"")</f>
        <v/>
      </c>
      <c r="G127" s="23">
        <f>IFERROR(DMAX(코딩자료!$A$1:$BB$74,"B6",$K$2:$L$3),"")</f>
        <v/>
      </c>
    </row>
    <row r="128">
      <c r="A128" s="16" t="n"/>
      <c r="B128" s="16" t="inlineStr">
        <is>
          <t>미도입</t>
        </is>
      </c>
      <c r="C128" s="9">
        <f>IFERROR(DCOUNT(코딩자료!$A$1:$BB$74,"B6",$K$5:$L$6),"")</f>
        <v/>
      </c>
      <c r="D128" s="22">
        <f>IFERROR(DAVERAGE(코딩자료!$A$1:$BB$74,"B6",$K$5:$L$6),"")</f>
        <v/>
      </c>
      <c r="E128" s="22">
        <f>IFERROR(DSTDEV(코딩자료!$A$1:$BB$74,"B6",$K$5:$L$6),"")</f>
        <v/>
      </c>
      <c r="F128" s="23">
        <f>IFERROR(DMIN(코딩자료!$A$1:$BB$74,"B6",$K$5:$L$6),"")</f>
        <v/>
      </c>
      <c r="G128" s="23">
        <f>IFERROR(DMAX(코딩자료!$A$1:$BB$74,"B6",$K$5:$L$6),"")</f>
        <v/>
      </c>
    </row>
    <row r="129">
      <c r="A129" s="16" t="n"/>
      <c r="B129" s="16" t="inlineStr">
        <is>
          <t>전체</t>
        </is>
      </c>
      <c r="C129" s="9">
        <f>IFERROR(DCOUNT(코딩자료!$A$1:$BB$74,"B6",$K$8:$K$9),"")</f>
        <v/>
      </c>
      <c r="D129" s="22">
        <f>IFERROR(DAVERAGE(코딩자료!$A$1:$BB$74,"B6",$K$8:$K$9),"")</f>
        <v/>
      </c>
      <c r="E129" s="22">
        <f>IFERROR(DSTDEV(코딩자료!$A$1:$BB$74,"B6",$K$8:$K$9),"")</f>
        <v/>
      </c>
      <c r="F129" s="23">
        <f>IFERROR(DMIN(코딩자료!$A$1:$BB$74,"B6",$K$8:$K$9),"")</f>
        <v/>
      </c>
      <c r="G129" s="23">
        <f>IFERROR(DMAX(코딩자료!$A$1:$BB$74,"B6",$K$8:$K$9),"")</f>
        <v/>
      </c>
    </row>
    <row r="130">
      <c r="A130" s="16" t="inlineStr">
        <is>
          <t>B-7</t>
        </is>
      </c>
      <c r="B130" s="16" t="inlineStr">
        <is>
          <t>도입</t>
        </is>
      </c>
      <c r="C130" s="9">
        <f>IFERROR(DCOUNT(코딩자료!$A$1:$BB$74,"B7",$K$2:$L$3),"")</f>
        <v/>
      </c>
      <c r="D130" s="22">
        <f>IFERROR(DAVERAGE(코딩자료!$A$1:$BB$74,"B7",$K$2:$L$3),"")</f>
        <v/>
      </c>
      <c r="E130" s="22">
        <f>IFERROR(DSTDEV(코딩자료!$A$1:$BB$74,"B7",$K$2:$L$3),"")</f>
        <v/>
      </c>
      <c r="F130" s="23">
        <f>IFERROR(DMIN(코딩자료!$A$1:$BB$74,"B7",$K$2:$L$3),"")</f>
        <v/>
      </c>
      <c r="G130" s="23">
        <f>IFERROR(DMAX(코딩자료!$A$1:$BB$74,"B7",$K$2:$L$3),"")</f>
        <v/>
      </c>
    </row>
    <row r="131">
      <c r="A131" s="16" t="n"/>
      <c r="B131" s="16" t="inlineStr">
        <is>
          <t>미도입</t>
        </is>
      </c>
      <c r="C131" s="9">
        <f>IFERROR(DCOUNT(코딩자료!$A$1:$BB$74,"B7",$K$5:$L$6),"")</f>
        <v/>
      </c>
      <c r="D131" s="22">
        <f>IFERROR(DAVERAGE(코딩자료!$A$1:$BB$74,"B7",$K$5:$L$6),"")</f>
        <v/>
      </c>
      <c r="E131" s="22">
        <f>IFERROR(DSTDEV(코딩자료!$A$1:$BB$74,"B7",$K$5:$L$6),"")</f>
        <v/>
      </c>
      <c r="F131" s="23">
        <f>IFERROR(DMIN(코딩자료!$A$1:$BB$74,"B7",$K$5:$L$6),"")</f>
        <v/>
      </c>
      <c r="G131" s="23">
        <f>IFERROR(DMAX(코딩자료!$A$1:$BB$74,"B7",$K$5:$L$6),"")</f>
        <v/>
      </c>
    </row>
    <row r="132">
      <c r="A132" s="16" t="n"/>
      <c r="B132" s="16" t="inlineStr">
        <is>
          <t>전체</t>
        </is>
      </c>
      <c r="C132" s="9">
        <f>IFERROR(DCOUNT(코딩자료!$A$1:$BB$74,"B7",$K$8:$K$9),"")</f>
        <v/>
      </c>
      <c r="D132" s="22">
        <f>IFERROR(DAVERAGE(코딩자료!$A$1:$BB$74,"B7",$K$8:$K$9),"")</f>
        <v/>
      </c>
      <c r="E132" s="22">
        <f>IFERROR(DSTDEV(코딩자료!$A$1:$BB$74,"B7",$K$8:$K$9),"")</f>
        <v/>
      </c>
      <c r="F132" s="23">
        <f>IFERROR(DMIN(코딩자료!$A$1:$BB$74,"B7",$K$8:$K$9),"")</f>
        <v/>
      </c>
      <c r="G132" s="23">
        <f>IFERROR(DMAX(코딩자료!$A$1:$BB$74,"B7",$K$8:$K$9),"")</f>
        <v/>
      </c>
    </row>
    <row r="133">
      <c r="A133" s="16" t="inlineStr">
        <is>
          <t>B-8</t>
        </is>
      </c>
      <c r="B133" s="16" t="inlineStr">
        <is>
          <t>도입</t>
        </is>
      </c>
      <c r="C133" s="9">
        <f>IFERROR(DCOUNT(코딩자료!$A$1:$BB$74,"B8",$K$2:$L$3),"")</f>
        <v/>
      </c>
      <c r="D133" s="22">
        <f>IFERROR(DAVERAGE(코딩자료!$A$1:$BB$74,"B8",$K$2:$L$3),"")</f>
        <v/>
      </c>
      <c r="E133" s="22">
        <f>IFERROR(DSTDEV(코딩자료!$A$1:$BB$74,"B8",$K$2:$L$3),"")</f>
        <v/>
      </c>
      <c r="F133" s="23">
        <f>IFERROR(DMIN(코딩자료!$A$1:$BB$74,"B8",$K$2:$L$3),"")</f>
        <v/>
      </c>
      <c r="G133" s="23">
        <f>IFERROR(DMAX(코딩자료!$A$1:$BB$74,"B8",$K$2:$L$3),"")</f>
        <v/>
      </c>
    </row>
    <row r="134">
      <c r="A134" s="16" t="n"/>
      <c r="B134" s="16" t="inlineStr">
        <is>
          <t>미도입</t>
        </is>
      </c>
      <c r="C134" s="9">
        <f>IFERROR(DCOUNT(코딩자료!$A$1:$BB$74,"B8",$K$5:$L$6),"")</f>
        <v/>
      </c>
      <c r="D134" s="22">
        <f>IFERROR(DAVERAGE(코딩자료!$A$1:$BB$74,"B8",$K$5:$L$6),"")</f>
        <v/>
      </c>
      <c r="E134" s="22">
        <f>IFERROR(DSTDEV(코딩자료!$A$1:$BB$74,"B8",$K$5:$L$6),"")</f>
        <v/>
      </c>
      <c r="F134" s="23">
        <f>IFERROR(DMIN(코딩자료!$A$1:$BB$74,"B8",$K$5:$L$6),"")</f>
        <v/>
      </c>
      <c r="G134" s="23">
        <f>IFERROR(DMAX(코딩자료!$A$1:$BB$74,"B8",$K$5:$L$6),"")</f>
        <v/>
      </c>
    </row>
    <row r="135">
      <c r="A135" s="16" t="n"/>
      <c r="B135" s="16" t="inlineStr">
        <is>
          <t>전체</t>
        </is>
      </c>
      <c r="C135" s="9">
        <f>IFERROR(DCOUNT(코딩자료!$A$1:$BB$74,"B8",$K$8:$K$9),"")</f>
        <v/>
      </c>
      <c r="D135" s="22">
        <f>IFERROR(DAVERAGE(코딩자료!$A$1:$BB$74,"B8",$K$8:$K$9),"")</f>
        <v/>
      </c>
      <c r="E135" s="22">
        <f>IFERROR(DSTDEV(코딩자료!$A$1:$BB$74,"B8",$K$8:$K$9),"")</f>
        <v/>
      </c>
      <c r="F135" s="23">
        <f>IFERROR(DMIN(코딩자료!$A$1:$BB$74,"B8",$K$8:$K$9),"")</f>
        <v/>
      </c>
      <c r="G135" s="23">
        <f>IFERROR(DMAX(코딩자료!$A$1:$BB$74,"B8",$K$8:$K$9),"")</f>
        <v/>
      </c>
    </row>
    <row r="136">
      <c r="A136" s="16" t="inlineStr">
        <is>
          <t>C-1</t>
        </is>
      </c>
      <c r="B136" s="16" t="inlineStr">
        <is>
          <t>도입</t>
        </is>
      </c>
      <c r="C136" s="9">
        <f>IFERROR(DCOUNT(코딩자료!$A$1:$BB$74,"C1",$K$2:$L$3),"")</f>
        <v/>
      </c>
      <c r="D136" s="22">
        <f>IFERROR(DAVERAGE(코딩자료!$A$1:$BB$74,"C1",$K$2:$L$3),"")</f>
        <v/>
      </c>
      <c r="E136" s="22">
        <f>IFERROR(DSTDEV(코딩자료!$A$1:$BB$74,"C1",$K$2:$L$3),"")</f>
        <v/>
      </c>
      <c r="F136" s="23">
        <f>IFERROR(DMIN(코딩자료!$A$1:$BB$74,"C1",$K$2:$L$3),"")</f>
        <v/>
      </c>
      <c r="G136" s="23">
        <f>IFERROR(DMAX(코딩자료!$A$1:$BB$74,"C1",$K$2:$L$3),"")</f>
        <v/>
      </c>
    </row>
    <row r="137">
      <c r="A137" s="16" t="n"/>
      <c r="B137" s="16" t="inlineStr">
        <is>
          <t>미도입</t>
        </is>
      </c>
      <c r="C137" s="9">
        <f>IFERROR(DCOUNT(코딩자료!$A$1:$BB$74,"C1",$K$5:$L$6),"")</f>
        <v/>
      </c>
      <c r="D137" s="22">
        <f>IFERROR(DAVERAGE(코딩자료!$A$1:$BB$74,"C1",$K$5:$L$6),"")</f>
        <v/>
      </c>
      <c r="E137" s="22">
        <f>IFERROR(DSTDEV(코딩자료!$A$1:$BB$74,"C1",$K$5:$L$6),"")</f>
        <v/>
      </c>
      <c r="F137" s="23">
        <f>IFERROR(DMIN(코딩자료!$A$1:$BB$74,"C1",$K$5:$L$6),"")</f>
        <v/>
      </c>
      <c r="G137" s="23">
        <f>IFERROR(DMAX(코딩자료!$A$1:$BB$74,"C1",$K$5:$L$6),"")</f>
        <v/>
      </c>
    </row>
    <row r="138">
      <c r="A138" s="16" t="n"/>
      <c r="B138" s="16" t="inlineStr">
        <is>
          <t>전체</t>
        </is>
      </c>
      <c r="C138" s="9">
        <f>IFERROR(DCOUNT(코딩자료!$A$1:$BB$74,"C1",$K$8:$K$9),"")</f>
        <v/>
      </c>
      <c r="D138" s="22">
        <f>IFERROR(DAVERAGE(코딩자료!$A$1:$BB$74,"C1",$K$8:$K$9),"")</f>
        <v/>
      </c>
      <c r="E138" s="22">
        <f>IFERROR(DSTDEV(코딩자료!$A$1:$BB$74,"C1",$K$8:$K$9),"")</f>
        <v/>
      </c>
      <c r="F138" s="23">
        <f>IFERROR(DMIN(코딩자료!$A$1:$BB$74,"C1",$K$8:$K$9),"")</f>
        <v/>
      </c>
      <c r="G138" s="23">
        <f>IFERROR(DMAX(코딩자료!$A$1:$BB$74,"C1",$K$8:$K$9),"")</f>
        <v/>
      </c>
    </row>
    <row r="139">
      <c r="A139" s="16" t="inlineStr">
        <is>
          <t>C-2</t>
        </is>
      </c>
      <c r="B139" s="16" t="inlineStr">
        <is>
          <t>도입</t>
        </is>
      </c>
      <c r="C139" s="9">
        <f>IFERROR(DCOUNT(코딩자료!$A$1:$BB$74,"C2",$K$2:$L$3),"")</f>
        <v/>
      </c>
      <c r="D139" s="22">
        <f>IFERROR(DAVERAGE(코딩자료!$A$1:$BB$74,"C2",$K$2:$L$3),"")</f>
        <v/>
      </c>
      <c r="E139" s="22">
        <f>IFERROR(DSTDEV(코딩자료!$A$1:$BB$74,"C2",$K$2:$L$3),"")</f>
        <v/>
      </c>
      <c r="F139" s="23">
        <f>IFERROR(DMIN(코딩자료!$A$1:$BB$74,"C2",$K$2:$L$3),"")</f>
        <v/>
      </c>
      <c r="G139" s="23">
        <f>IFERROR(DMAX(코딩자료!$A$1:$BB$74,"C2",$K$2:$L$3),"")</f>
        <v/>
      </c>
    </row>
    <row r="140">
      <c r="A140" s="16" t="n"/>
      <c r="B140" s="16" t="inlineStr">
        <is>
          <t>미도입</t>
        </is>
      </c>
      <c r="C140" s="9">
        <f>IFERROR(DCOUNT(코딩자료!$A$1:$BB$74,"C2",$K$5:$L$6),"")</f>
        <v/>
      </c>
      <c r="D140" s="22">
        <f>IFERROR(DAVERAGE(코딩자료!$A$1:$BB$74,"C2",$K$5:$L$6),"")</f>
        <v/>
      </c>
      <c r="E140" s="22">
        <f>IFERROR(DSTDEV(코딩자료!$A$1:$BB$74,"C2",$K$5:$L$6),"")</f>
        <v/>
      </c>
      <c r="F140" s="23">
        <f>IFERROR(DMIN(코딩자료!$A$1:$BB$74,"C2",$K$5:$L$6),"")</f>
        <v/>
      </c>
      <c r="G140" s="23">
        <f>IFERROR(DMAX(코딩자료!$A$1:$BB$74,"C2",$K$5:$L$6),"")</f>
        <v/>
      </c>
    </row>
    <row r="141">
      <c r="A141" s="16" t="n"/>
      <c r="B141" s="16" t="inlineStr">
        <is>
          <t>전체</t>
        </is>
      </c>
      <c r="C141" s="9">
        <f>IFERROR(DCOUNT(코딩자료!$A$1:$BB$74,"C2",$K$8:$K$9),"")</f>
        <v/>
      </c>
      <c r="D141" s="22">
        <f>IFERROR(DAVERAGE(코딩자료!$A$1:$BB$74,"C2",$K$8:$K$9),"")</f>
        <v/>
      </c>
      <c r="E141" s="22">
        <f>IFERROR(DSTDEV(코딩자료!$A$1:$BB$74,"C2",$K$8:$K$9),"")</f>
        <v/>
      </c>
      <c r="F141" s="23">
        <f>IFERROR(DMIN(코딩자료!$A$1:$BB$74,"C2",$K$8:$K$9),"")</f>
        <v/>
      </c>
      <c r="G141" s="23">
        <f>IFERROR(DMAX(코딩자료!$A$1:$BB$74,"C2",$K$8:$K$9),"")</f>
        <v/>
      </c>
    </row>
    <row r="142">
      <c r="A142" s="16" t="inlineStr">
        <is>
          <t>C-3</t>
        </is>
      </c>
      <c r="B142" s="16" t="inlineStr">
        <is>
          <t>도입</t>
        </is>
      </c>
      <c r="C142" s="9">
        <f>IFERROR(DCOUNT(코딩자료!$A$1:$BB$74,"C3",$K$2:$L$3),"")</f>
        <v/>
      </c>
      <c r="D142" s="22">
        <f>IFERROR(DAVERAGE(코딩자료!$A$1:$BB$74,"C3",$K$2:$L$3),"")</f>
        <v/>
      </c>
      <c r="E142" s="22">
        <f>IFERROR(DSTDEV(코딩자료!$A$1:$BB$74,"C3",$K$2:$L$3),"")</f>
        <v/>
      </c>
      <c r="F142" s="23">
        <f>IFERROR(DMIN(코딩자료!$A$1:$BB$74,"C3",$K$2:$L$3),"")</f>
        <v/>
      </c>
      <c r="G142" s="23">
        <f>IFERROR(DMAX(코딩자료!$A$1:$BB$74,"C3",$K$2:$L$3),"")</f>
        <v/>
      </c>
    </row>
    <row r="143">
      <c r="A143" s="16" t="n"/>
      <c r="B143" s="16" t="inlineStr">
        <is>
          <t>미도입</t>
        </is>
      </c>
      <c r="C143" s="9">
        <f>IFERROR(DCOUNT(코딩자료!$A$1:$BB$74,"C3",$K$5:$L$6),"")</f>
        <v/>
      </c>
      <c r="D143" s="22">
        <f>IFERROR(DAVERAGE(코딩자료!$A$1:$BB$74,"C3",$K$5:$L$6),"")</f>
        <v/>
      </c>
      <c r="E143" s="22">
        <f>IFERROR(DSTDEV(코딩자료!$A$1:$BB$74,"C3",$K$5:$L$6),"")</f>
        <v/>
      </c>
      <c r="F143" s="23">
        <f>IFERROR(DMIN(코딩자료!$A$1:$BB$74,"C3",$K$5:$L$6),"")</f>
        <v/>
      </c>
      <c r="G143" s="23">
        <f>IFERROR(DMAX(코딩자료!$A$1:$BB$74,"C3",$K$5:$L$6),"")</f>
        <v/>
      </c>
    </row>
    <row r="144">
      <c r="A144" s="16" t="n"/>
      <c r="B144" s="16" t="inlineStr">
        <is>
          <t>전체</t>
        </is>
      </c>
      <c r="C144" s="9">
        <f>IFERROR(DCOUNT(코딩자료!$A$1:$BB$74,"C3",$K$8:$K$9),"")</f>
        <v/>
      </c>
      <c r="D144" s="22">
        <f>IFERROR(DAVERAGE(코딩자료!$A$1:$BB$74,"C3",$K$8:$K$9),"")</f>
        <v/>
      </c>
      <c r="E144" s="22">
        <f>IFERROR(DSTDEV(코딩자료!$A$1:$BB$74,"C3",$K$8:$K$9),"")</f>
        <v/>
      </c>
      <c r="F144" s="23">
        <f>IFERROR(DMIN(코딩자료!$A$1:$BB$74,"C3",$K$8:$K$9),"")</f>
        <v/>
      </c>
      <c r="G144" s="23">
        <f>IFERROR(DMAX(코딩자료!$A$1:$BB$74,"C3",$K$8:$K$9),"")</f>
        <v/>
      </c>
    </row>
    <row r="145">
      <c r="A145" s="16" t="inlineStr">
        <is>
          <t>C-4</t>
        </is>
      </c>
      <c r="B145" s="16" t="inlineStr">
        <is>
          <t>도입</t>
        </is>
      </c>
      <c r="C145" s="9">
        <f>IFERROR(DCOUNT(코딩자료!$A$1:$BB$74,"C4",$K$2:$L$3),"")</f>
        <v/>
      </c>
      <c r="D145" s="22">
        <f>IFERROR(DAVERAGE(코딩자료!$A$1:$BB$74,"C4",$K$2:$L$3),"")</f>
        <v/>
      </c>
      <c r="E145" s="22">
        <f>IFERROR(DSTDEV(코딩자료!$A$1:$BB$74,"C4",$K$2:$L$3),"")</f>
        <v/>
      </c>
      <c r="F145" s="23">
        <f>IFERROR(DMIN(코딩자료!$A$1:$BB$74,"C4",$K$2:$L$3),"")</f>
        <v/>
      </c>
      <c r="G145" s="23">
        <f>IFERROR(DMAX(코딩자료!$A$1:$BB$74,"C4",$K$2:$L$3),"")</f>
        <v/>
      </c>
    </row>
    <row r="146">
      <c r="A146" s="16" t="n"/>
      <c r="B146" s="16" t="inlineStr">
        <is>
          <t>미도입</t>
        </is>
      </c>
      <c r="C146" s="9">
        <f>IFERROR(DCOUNT(코딩자료!$A$1:$BB$74,"C4",$K$5:$L$6),"")</f>
        <v/>
      </c>
      <c r="D146" s="22">
        <f>IFERROR(DAVERAGE(코딩자료!$A$1:$BB$74,"C4",$K$5:$L$6),"")</f>
        <v/>
      </c>
      <c r="E146" s="22">
        <f>IFERROR(DSTDEV(코딩자료!$A$1:$BB$74,"C4",$K$5:$L$6),"")</f>
        <v/>
      </c>
      <c r="F146" s="23">
        <f>IFERROR(DMIN(코딩자료!$A$1:$BB$74,"C4",$K$5:$L$6),"")</f>
        <v/>
      </c>
      <c r="G146" s="23">
        <f>IFERROR(DMAX(코딩자료!$A$1:$BB$74,"C4",$K$5:$L$6),"")</f>
        <v/>
      </c>
    </row>
    <row r="147">
      <c r="A147" s="16" t="n"/>
      <c r="B147" s="16" t="inlineStr">
        <is>
          <t>전체</t>
        </is>
      </c>
      <c r="C147" s="9">
        <f>IFERROR(DCOUNT(코딩자료!$A$1:$BB$74,"C4",$K$8:$K$9),"")</f>
        <v/>
      </c>
      <c r="D147" s="22">
        <f>IFERROR(DAVERAGE(코딩자료!$A$1:$BB$74,"C4",$K$8:$K$9),"")</f>
        <v/>
      </c>
      <c r="E147" s="22">
        <f>IFERROR(DSTDEV(코딩자료!$A$1:$BB$74,"C4",$K$8:$K$9),"")</f>
        <v/>
      </c>
      <c r="F147" s="23">
        <f>IFERROR(DMIN(코딩자료!$A$1:$BB$74,"C4",$K$8:$K$9),"")</f>
        <v/>
      </c>
      <c r="G147" s="23">
        <f>IFERROR(DMAX(코딩자료!$A$1:$BB$74,"C4",$K$8:$K$9),"")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7"/>
  <cols>
    <col width="6" customWidth="1" min="1" max="1"/>
    <col width="18" customWidth="1" min="2" max="2"/>
    <col width="22" customWidth="1" min="3" max="3"/>
    <col width="14" customWidth="1" min="4" max="4"/>
    <col width="70" customWidth="1" min="5" max="5"/>
    <col width="55" customWidth="1" min="6" max="6"/>
    <col width="18" customWidth="1" min="7" max="7"/>
  </cols>
  <sheetData>
    <row r="1">
      <c r="A1" s="4" t="inlineStr">
        <is>
          <t>번호</t>
        </is>
      </c>
      <c r="B1" s="4" t="inlineStr">
        <is>
          <t>구분</t>
        </is>
      </c>
      <c r="C1" s="4" t="inlineStr">
        <is>
          <t>resp_id</t>
        </is>
      </c>
      <c r="D1" s="4" t="inlineStr">
        <is>
          <t>원본 행</t>
        </is>
      </c>
      <c r="E1" s="4" t="inlineStr">
        <is>
          <t>내용</t>
        </is>
      </c>
      <c r="F1" s="4" t="inlineStr">
        <is>
          <t>처리</t>
        </is>
      </c>
      <c r="G1" s="4" t="inlineStr">
        <is>
          <t>상태</t>
        </is>
      </c>
    </row>
    <row r="2" ht="32" customHeight="1">
      <c r="A2" s="11" t="n">
        <v>1</v>
      </c>
      <c r="B2" s="11" t="inlineStr">
        <is>
          <t>자료 특성(0.5)</t>
        </is>
      </c>
      <c r="C2" s="11" t="inlineStr">
        <is>
          <t>—</t>
        </is>
      </c>
      <c r="D2" s="11" t="inlineStr">
        <is>
          <t>—</t>
        </is>
      </c>
      <c r="E2" s="11" t="inlineStr">
        <is>
          <t>성별: 도입 집단 32명 전원 남성(여성 0), 여성은 미도입에만 6명.</t>
        </is>
      </c>
      <c r="F2" s="11" t="inlineStr">
        <is>
          <t>성별 더미는 미도입 내부에서만 식별됨 → 집단과 성별이 부분 교락. Task B에서 계수 해석 시 유의.</t>
        </is>
      </c>
      <c r="G2" s="11" t="inlineStr">
        <is>
          <t>기록</t>
        </is>
      </c>
    </row>
    <row r="3" ht="48" customHeight="1">
      <c r="A3" s="11" t="n">
        <v>2</v>
      </c>
      <c r="B3" s="11" t="inlineStr">
        <is>
          <t>자료 특성(0.5)</t>
        </is>
      </c>
      <c r="C3" s="11" t="inlineStr">
        <is>
          <t>—</t>
        </is>
      </c>
      <c r="D3" s="11" t="inlineStr">
        <is>
          <t>—</t>
        </is>
      </c>
      <c r="E3" s="11" t="inlineStr">
        <is>
          <t>소속×역할 교차(include=1): 미도입·시공사: 공사감독 3, 안전관리자 12, 현장소장 12 / 미도입·발주청: 공사감독 9, 기타 2 / 도입·시공사: 안전관리자 6, 현장소장 10, 기타 1 / 도입·발주청: 공사감독 12, 안전관리자 1, 기타 2. 발주청 응답자는 대부분 공사감독.</t>
        </is>
      </c>
      <c r="F3" s="11" t="inlineStr">
        <is>
          <t>소속–역할 중복으로 설계행렬 순위 결함 가능 → Task B에서 rank(X) 확인 필수.</t>
        </is>
      </c>
      <c r="G3" s="11" t="inlineStr">
        <is>
          <t>기록</t>
        </is>
      </c>
    </row>
    <row r="4">
      <c r="A4" s="11" t="n">
        <v>3</v>
      </c>
      <c r="B4" s="11" t="inlineStr">
        <is>
          <t>자료 특성(추가)</t>
        </is>
      </c>
      <c r="C4" s="11" t="inlineStr">
        <is>
          <t>R043, R046, R066</t>
        </is>
      </c>
      <c r="D4" s="11" t="inlineStr">
        <is>
          <t>44, 47, 67</t>
        </is>
      </c>
      <c r="E4" s="11" t="inlineStr">
        <is>
          <t>소속=시공사인데 역할=공사감독 3건(보기상 공사감독은 발주청 역할에 가까움).</t>
        </is>
      </c>
      <c r="F4" s="11" t="inlineStr">
        <is>
          <t>응답 그대로 유지. 소속 또는 역할 오기 가능성 — 명부 대조 시 확인.</t>
        </is>
      </c>
      <c r="G4" s="11" t="inlineStr">
        <is>
          <t>확인 필요</t>
        </is>
      </c>
    </row>
    <row r="5">
      <c r="A5" s="11" t="n">
        <v>4</v>
      </c>
      <c r="B5" s="11" t="inlineStr">
        <is>
          <t>자료 특성(추가)</t>
        </is>
      </c>
      <c r="C5" s="11" t="inlineStr">
        <is>
          <t>R070</t>
        </is>
      </c>
      <c r="D5" s="11" t="inlineStr">
        <is>
          <t>71</t>
        </is>
      </c>
      <c r="E5" s="11" t="inlineStr">
        <is>
          <t>소속=발주청인데 역할=안전관리자 1건.</t>
        </is>
      </c>
      <c r="F5" s="11" t="inlineStr">
        <is>
          <t>응답 그대로 유지(참고).</t>
        </is>
      </c>
      <c r="G5" s="11" t="inlineStr">
        <is>
          <t>기록</t>
        </is>
      </c>
    </row>
    <row r="6" ht="32" customHeight="1">
      <c r="A6" s="11" t="n">
        <v>5</v>
      </c>
      <c r="B6" s="11" t="inlineStr">
        <is>
          <t>자료 특성(0.5)</t>
        </is>
      </c>
      <c r="C6" s="11" t="inlineStr">
        <is>
          <t>R001, R002, R003, R004, R005</t>
        </is>
      </c>
      <c r="D6" s="11" t="inlineStr">
        <is>
          <t>2, 3, 4, 5, 6</t>
        </is>
      </c>
      <c r="E6" s="11" t="inlineStr">
        <is>
          <t>현장명·성명은 5건에만 입력(시험 응답 2건 포함). 나머지 68건은 둘 다 빈칸.</t>
        </is>
      </c>
      <c r="F6" s="11" t="inlineStr">
        <is>
          <t>중복 제출은 타임스탬프·응답 벡터 동일성으로만 확인 가능(아래 항목). 분석자료·CSV에서는 성명·현장명 제거.</t>
        </is>
      </c>
      <c r="G6" s="11" t="inlineStr">
        <is>
          <t>기록</t>
        </is>
      </c>
    </row>
    <row r="7" ht="32" customHeight="1">
      <c r="A7" s="11" t="n">
        <v>6</v>
      </c>
      <c r="B7" s="11" t="inlineStr">
        <is>
          <t>자료 특성(0.5)</t>
        </is>
      </c>
      <c r="C7" s="11" t="inlineStr">
        <is>
          <t>—</t>
        </is>
      </c>
      <c r="D7" s="11" t="inlineStr">
        <is>
          <t>—</t>
        </is>
      </c>
      <c r="E7" s="11" t="inlineStr">
        <is>
          <t>집단 구분은 첫 질문의 자기보고 분기값이며 조사 명부와의 대조는 아직 하지 않았다.</t>
        </is>
      </c>
      <c r="F7" s="11" t="inlineStr">
        <is>
          <t>group은 '명부 대조 전 자기보고 기준'. 명부 확보 후 불일치 건을 재검토(자기보고만으로 재분류하지 않음).</t>
        </is>
      </c>
      <c r="G7" s="11" t="inlineStr">
        <is>
          <t>확인 필요</t>
        </is>
      </c>
    </row>
    <row r="8">
      <c r="A8" s="11" t="n">
        <v>7</v>
      </c>
      <c r="B8" s="11" t="inlineStr">
        <is>
          <t>중복 의심</t>
        </is>
      </c>
      <c r="C8" s="11" t="inlineStr">
        <is>
          <t>—</t>
        </is>
      </c>
      <c r="D8" s="11" t="inlineStr">
        <is>
          <t>—</t>
        </is>
      </c>
      <c r="E8" s="11" t="inlineStr">
        <is>
          <t>전 문항(A·B·C·D·E 코딩값) 응답 벡터가 완전히 같은 쌍: 0건.</t>
        </is>
      </c>
      <c r="F8" s="11" t="inlineStr">
        <is>
          <t>중복 제출 근거 없음.</t>
        </is>
      </c>
      <c r="G8" s="11" t="inlineStr">
        <is>
          <t>기록</t>
        </is>
      </c>
    </row>
    <row r="9" ht="48" customHeight="1">
      <c r="A9" s="11" t="n">
        <v>8</v>
      </c>
      <c r="B9" s="11" t="inlineStr">
        <is>
          <t>중복 의심(근접 제출)</t>
        </is>
      </c>
      <c r="C9" s="11" t="inlineStr">
        <is>
          <t>R013–R014; R018–R019; R020–R021; R030–R031</t>
        </is>
      </c>
      <c r="D9" s="11" t="inlineStr">
        <is>
          <t>—</t>
        </is>
      </c>
      <c r="E9" s="11" t="inlineStr">
        <is>
          <t>직전 응답과 2분 이내 제출 24쌍. 20초 이내: R013–R014 13초 차, 코딩값 28개 다름; R018–R019 2초 차, 코딩값 29개 다름; R020–R021 18초 차, 코딩값 24개 다름; R030–R031 9초 차, 코딩값 23개 다름. 2분 이내 쌍의 서로 다른 변수 수 최소 13개.</t>
        </is>
      </c>
      <c r="F9" s="11" t="inlineStr">
        <is>
          <t>근접 제출이지만 응답 벡터가 다르므로 중복으로 보지 않음(현장 단체 안내 시 동시 응답으로 해석). 계획서의 행 14·15 = R013–R014.</t>
        </is>
      </c>
      <c r="G9" s="11" t="inlineStr">
        <is>
          <t>기록</t>
        </is>
      </c>
    </row>
    <row r="10" ht="32" customHeight="1">
      <c r="A10" s="11" t="n">
        <v>9</v>
      </c>
      <c r="B10" s="11" t="inlineStr">
        <is>
          <t>제외(include=0)</t>
        </is>
      </c>
      <c r="C10" s="11" t="inlineStr">
        <is>
          <t>R001</t>
        </is>
      </c>
      <c r="D10" s="11" t="n">
        <v>2</v>
      </c>
      <c r="E10" s="11" t="inlineStr">
        <is>
          <t>2026-10-14 10:31:32, 현장명 '테스트', 도입 분기, 리커트 전 문항 값 [3].</t>
        </is>
      </c>
      <c r="F10" s="11" t="inlineStr">
        <is>
          <t>include=0, exclude_reason='시험 응답(현장명 '테스트')'. → 유효 표본에서 제외.</t>
        </is>
      </c>
      <c r="G10" s="11" t="inlineStr">
        <is>
          <t>사용자 확인 필요(계획 결정 1)</t>
        </is>
      </c>
    </row>
    <row r="11" ht="32" customHeight="1">
      <c r="A11" s="11" t="n">
        <v>10</v>
      </c>
      <c r="B11" s="11" t="inlineStr">
        <is>
          <t>제외(include=0)</t>
        </is>
      </c>
      <c r="C11" s="11" t="inlineStr">
        <is>
          <t>R002</t>
        </is>
      </c>
      <c r="D11" s="11" t="n">
        <v>3</v>
      </c>
      <c r="E11" s="11" t="inlineStr">
        <is>
          <t>2026-10-14 10:32:38, 현장명 '없음', 도입 분기, 리커트 전 문항 값 [5].</t>
        </is>
      </c>
      <c r="F11" s="11" t="inlineStr">
        <is>
          <t>include=0, exclude_reason='연구자 본인 시험 응답(현장명 '없음')'. → 유효 표본에서 제외.</t>
        </is>
      </c>
      <c r="G11" s="11" t="inlineStr">
        <is>
          <t>사용자 확인 필요(계획 결정 1)</t>
        </is>
      </c>
    </row>
    <row r="12" ht="32" customHeight="1">
      <c r="A12" s="11" t="n">
        <v>11</v>
      </c>
      <c r="B12" s="11" t="inlineStr">
        <is>
          <t>결측(무응답 표기)</t>
        </is>
      </c>
      <c r="C12" s="11" t="inlineStr">
        <is>
          <t>R030</t>
        </is>
      </c>
      <c r="D12" s="11" t="n">
        <v>31</v>
      </c>
      <c r="E12" s="11" t="inlineStr">
        <is>
          <t>A5='.' — 역할 보기 외 '.' 한 글자.</t>
        </is>
      </c>
      <c r="F12" s="11" t="inlineStr">
        <is>
          <t>A5_role 결측. H1 완전사례에서 탈락. (계획 결정 2: 결측 vs 기타)</t>
        </is>
      </c>
      <c r="G12" s="11" t="inlineStr">
        <is>
          <t>사용자 확인 필요(계획 결정 2)</t>
        </is>
      </c>
    </row>
    <row r="13" ht="32" customHeight="1">
      <c r="A13" s="11" t="n">
        <v>12</v>
      </c>
      <c r="B13" s="11" t="inlineStr">
        <is>
          <t>기타 응답(A-5)</t>
        </is>
      </c>
      <c r="C13" s="11" t="inlineStr">
        <is>
          <t>R037, R039, R055, R072, R073</t>
        </is>
      </c>
      <c r="D13" s="11" t="inlineStr">
        <is>
          <t>38, 40, 56, 73, 74</t>
        </is>
      </c>
      <c r="E13" s="11" t="inlineStr">
        <is>
          <t>A-5 기타 원문: R037=사업관리(부장); R039=기술사사무소; R055=사업관리(안전포함); R072=공무; R073=설계자</t>
        </is>
      </c>
      <c r="F13" s="11" t="inlineStr">
        <is>
          <t>A5_role=4, 원문은 A5_기타텍스트 보존.</t>
        </is>
      </c>
      <c r="G13" s="11" t="inlineStr">
        <is>
          <t>기록</t>
        </is>
      </c>
    </row>
    <row r="14" ht="48" customHeight="1">
      <c r="A14" s="11" t="n">
        <v>13</v>
      </c>
      <c r="B14" s="11" t="inlineStr">
        <is>
          <t>기타 응답(A-7)</t>
        </is>
      </c>
      <c r="C14" s="11" t="inlineStr">
        <is>
          <t>R020, R024, R033, R038, R048</t>
        </is>
      </c>
      <c r="D14" s="11" t="inlineStr">
        <is>
          <t>21, 25, 34, 39, 49</t>
        </is>
      </c>
      <c r="E14" s="11" t="inlineStr">
        <is>
          <t>A-7 기타 원문: R020(미도입)=현장상주; R024(도입)=수시로 현장을 답사하여 확인한다; R033(도입)=현장상주 미상주시 대체직원 상주; R038(미도입)=현장상주 직접확인; R048(미도입)=상주 근무자의 비상연락망 가동</t>
        </is>
      </c>
      <c r="F14" s="11" t="inlineStr">
        <is>
          <t>A7_path=5. 도입 집단 해당 건은 sys_path=0으로 두었으며 판정 기준 [확정 필요].</t>
        </is>
      </c>
      <c r="G14" s="11" t="inlineStr">
        <is>
          <t>확인 필요</t>
        </is>
      </c>
    </row>
    <row r="15" ht="48" customHeight="1">
      <c r="A15" s="11" t="n">
        <v>14</v>
      </c>
      <c r="B15" s="11" t="inlineStr">
        <is>
          <t>운용 실태(sys_path)</t>
        </is>
      </c>
      <c r="C15" s="11" t="inlineStr">
        <is>
          <t>R010, R017, R034, R037, R071</t>
        </is>
      </c>
      <c r="D15" s="11" t="inlineStr">
        <is>
          <t>11, 18, 35, 38, 72</t>
        </is>
      </c>
      <c r="E15" s="11" t="inlineStr">
        <is>
          <t>도입 32명 중 sys_path=1은 5명, 0은 27명. A-7 분포(도입): 작업자나 반장의 전화·보고 13, 사무실 등에서 CCTV 화면을 직접 본다 9, 자동 알림(문자·메신저·앱)을 받는다 8, 기타 2. sys_path=1의 구성: A-7=③·A-8=③ 0건, A-7=④·A-8=③ 5건.</t>
        </is>
      </c>
      <c r="F15" s="11" t="inlineStr">
        <is>
          <t>sys_path=0 제외 민감도 분석의 부분집단이 매우 작다(도입 n=5) → Task B 민감도 분석의 추정 안정성 주의.</t>
        </is>
      </c>
      <c r="G15" s="11" t="inlineStr">
        <is>
          <t>확인 필요</t>
        </is>
      </c>
    </row>
    <row r="16" ht="32" customHeight="1">
      <c r="A16" s="11" t="n">
        <v>15</v>
      </c>
      <c r="B16" s="11" t="inlineStr">
        <is>
          <t>운용 실태(미도입)</t>
        </is>
      </c>
      <c r="C16" s="11" t="inlineStr">
        <is>
          <t>R025, R041</t>
        </is>
      </c>
      <c r="D16" s="11" t="inlineStr">
        <is>
          <t>26, 42</t>
        </is>
      </c>
      <c r="E16" s="11" t="inlineStr">
        <is>
          <t>미도입 응답인데 A-8=③(발생 직후 알림으로) 또는 A-7=④(자동 알림): R025 A7=3, A8=3; R041 A7=2, A8=3</t>
        </is>
      </c>
      <c r="F16" s="11" t="inlineStr">
        <is>
          <t>다른 알림 수단 사용 가능성 또는 분기 오선택 가능성 — 명부 대조 대상. 응답 그대로 유지.</t>
        </is>
      </c>
      <c r="G16" s="11" t="inlineStr">
        <is>
          <t>확인 필요</t>
        </is>
      </c>
    </row>
    <row r="17" ht="32" customHeight="1">
      <c r="A17" s="11" t="n">
        <v>16</v>
      </c>
      <c r="B17" s="11" t="inlineStr">
        <is>
          <t>일렬응답</t>
        </is>
      </c>
      <c r="C17" s="11" t="inlineStr">
        <is>
          <t>R030</t>
        </is>
      </c>
      <c r="D17" s="11" t="n">
        <v>31</v>
      </c>
      <c r="E17" s="11" t="inlineStr">
        <is>
          <t>미도입 응답자의 리커트 전 문항(12개)이 모두 4.</t>
        </is>
      </c>
      <c r="F17" s="11" t="inlineStr">
        <is>
          <t>원고 규칙(05장 제1절: 일렬응답만으로 자동 제외하지 않음)에 따라 포함 유지. 민감도 점검 후보.</t>
        </is>
      </c>
      <c r="G17" s="11" t="inlineStr">
        <is>
          <t>기록</t>
        </is>
      </c>
    </row>
    <row r="18" ht="32" customHeight="1">
      <c r="A18" s="11" t="n">
        <v>17</v>
      </c>
      <c r="B18" s="11" t="inlineStr">
        <is>
          <t>일렬응답</t>
        </is>
      </c>
      <c r="C18" s="11" t="inlineStr">
        <is>
          <t>R050</t>
        </is>
      </c>
      <c r="D18" s="11" t="n">
        <v>51</v>
      </c>
      <c r="E18" s="11" t="inlineStr">
        <is>
          <t>미도입 응답자의 리커트 전 문항(12개)이 모두 4.</t>
        </is>
      </c>
      <c r="F18" s="11" t="inlineStr">
        <is>
          <t>원고 규칙(05장 제1절: 일렬응답만으로 자동 제외하지 않음)에 따라 포함 유지. 민감도 점검 후보.</t>
        </is>
      </c>
      <c r="G18" s="11" t="inlineStr">
        <is>
          <t>기록</t>
        </is>
      </c>
    </row>
    <row r="19">
      <c r="A19" s="11" t="n">
        <v>18</v>
      </c>
      <c r="B19" s="11" t="inlineStr">
        <is>
          <t>희소 범주(n&lt;5)</t>
        </is>
      </c>
      <c r="C19" s="11" t="inlineStr">
        <is>
          <t>—</t>
        </is>
      </c>
      <c r="D19" s="11" t="inlineStr">
        <is>
          <t>—</t>
        </is>
      </c>
      <c r="E19" s="11" t="inlineStr">
        <is>
          <t>집단별 n&lt;5 범주: 도입 20억 원 미만 2; 도입 기타 3; 미도입 기타 2; 도입 여성 0.</t>
        </is>
      </c>
      <c r="F19" s="11" t="inlineStr">
        <is>
          <t>&lt;표 5-4&gt; 균형 진단에서 희소범주 표시. 더미 계수 불안정 가능.</t>
        </is>
      </c>
      <c r="G19" s="11" t="inlineStr">
        <is>
          <t>기록</t>
        </is>
      </c>
    </row>
    <row r="20">
      <c r="A20" s="11" t="n">
        <v>19</v>
      </c>
      <c r="B20" s="11" t="inlineStr">
        <is>
          <t>검증</t>
        </is>
      </c>
      <c r="C20" s="11" t="inlineStr">
        <is>
          <t>—</t>
        </is>
      </c>
      <c r="D20" s="11" t="inlineStr">
        <is>
          <t>—</t>
        </is>
      </c>
      <c r="E20" s="11" t="inlineStr">
        <is>
          <t>교차 채움 위반 0건(도입 행 38∼58열, 미도입 행 5∼37열 모두 빈칸).</t>
        </is>
      </c>
      <c r="F20" s="11" t="inlineStr">
        <is>
          <t>이상 없음</t>
        </is>
      </c>
      <c r="G20" s="11" t="inlineStr">
        <is>
          <t>기록</t>
        </is>
      </c>
    </row>
    <row r="21">
      <c r="A21" s="11" t="n">
        <v>20</v>
      </c>
      <c r="B21" s="11" t="inlineStr">
        <is>
          <t>검증</t>
        </is>
      </c>
      <c r="C21" s="11" t="inlineStr">
        <is>
          <t>—</t>
        </is>
      </c>
      <c r="D21" s="11" t="inlineStr">
        <is>
          <t>—</t>
        </is>
      </c>
      <c r="E21" s="11" t="inlineStr">
        <is>
          <t>리커트 매핑 실패 0건, 범주 매핑 실패(기타 제외) 0건, 숫자 변환 실패 0건.</t>
        </is>
      </c>
      <c r="F21" s="11" t="inlineStr">
        <is>
          <t>이상 없음</t>
        </is>
      </c>
      <c r="G21" s="11" t="inlineStr">
        <is>
          <t>기록</t>
        </is>
      </c>
    </row>
    <row r="22" ht="32" customHeight="1">
      <c r="A22" s="11" t="n">
        <v>21</v>
      </c>
      <c r="B22" s="11" t="inlineStr">
        <is>
          <t>결측 현황</t>
        </is>
      </c>
      <c r="C22" s="11" t="inlineStr">
        <is>
          <t>—</t>
        </is>
      </c>
      <c r="D22" s="11" t="inlineStr">
        <is>
          <t>—</t>
        </is>
      </c>
      <c r="E22" s="11" t="inlineStr">
        <is>
          <t>include=1 기준 문항 결측: A5_role 1건 (D·E는 도입 집단 기준, 미도입 D·E 빈칸은 설계상 비해당).</t>
        </is>
      </c>
      <c r="F22" s="11" t="inlineStr">
        <is>
          <t>Y_total·W 완전사례 = 유효 표본 전원.</t>
        </is>
      </c>
      <c r="G22" s="11" t="inlineStr">
        <is>
          <t>기록</t>
        </is>
      </c>
    </row>
    <row r="23">
      <c r="A23" s="11" t="n">
        <v>22</v>
      </c>
      <c r="B23" s="11" t="inlineStr">
        <is>
          <t>검증</t>
        </is>
      </c>
      <c r="C23" s="11" t="inlineStr">
        <is>
          <t>—</t>
        </is>
      </c>
      <c r="D23" s="11" t="inlineStr">
        <is>
          <t>—</t>
        </is>
      </c>
      <c r="E23" s="11" t="inlineStr">
        <is>
          <t>원본 머리글 문항 문구 ↔ 부록1 문항 전문 대조: 33문항 중 불일치 0건.</t>
        </is>
      </c>
      <c r="F23" s="11" t="inlineStr">
        <is>
          <t>코드북 문항 전문은 부록1에서 읽음.</t>
        </is>
      </c>
      <c r="G23" s="11" t="inlineStr">
        <is>
          <t>기록</t>
        </is>
      </c>
    </row>
    <row r="24" ht="32" customHeight="1">
      <c r="A24" s="11" t="n">
        <v>23</v>
      </c>
      <c r="B24" s="11" t="inlineStr">
        <is>
          <t>자료 특성(추가)</t>
        </is>
      </c>
      <c r="C24" s="11" t="inlineStr">
        <is>
          <t>—</t>
        </is>
      </c>
      <c r="D24" s="11" t="inlineStr">
        <is>
          <t>—</t>
        </is>
      </c>
      <c r="E24" s="11" t="inlineStr">
        <is>
          <t>제출 기간: 전체 2026-10-14 10:31∼2026-10-23 11:40, 유효 응답 2026-10-14 11:34∼2026-10-23 11:40. 유효 표본 71명(도입 32, 미도입 39) — 04장 모집 목표 60명과 다름.</t>
        </is>
      </c>
      <c r="F24" s="11" t="inlineStr">
        <is>
          <t>Google Forms 제출시각은 응답 소요시간으로 쓰지 않음(05장 제1절). 표본 수 서술 정합은 Task C에서.</t>
        </is>
      </c>
      <c r="G24" s="11" t="inlineStr">
        <is>
          <t>기록</t>
        </is>
      </c>
    </row>
  </sheetData>
  <autoFilter ref="A1:G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2026-10-24T00:03:46Z</dcterms:created>
  <dcterms:modified xmlns:dcterms="http://purl.org/dc/terms/" xmlns:xsi="http://www.w3.org/2001/XMLSchema-instance" xsi:type="dcterms:W3CDTF">2026-10-24T08:53:37Z</dcterms:modified>
  <cp:lastModifiedBy>Hyuk Yoon</cp:lastModifiedBy>
</cp:coreProperties>
</file>