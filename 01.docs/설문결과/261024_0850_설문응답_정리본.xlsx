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2026 개발관련\03. 경기대 논문\01.docs\설문결과\"/>
    </mc:Choice>
  </mc:AlternateContent>
  <xr:revisionPtr revIDLastSave="0" documentId="13_ncr:1_{D8F9F249-AD0D-438C-AB5A-1AA3D17562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ADME" sheetId="1" r:id="rId1"/>
    <sheet name="원자료_통합" sheetId="2" r:id="rId2"/>
    <sheet name="코딩자료" sheetId="3" r:id="rId3"/>
    <sheet name="분석자료" sheetId="4" r:id="rId4"/>
    <sheet name="코드북" sheetId="5" r:id="rId5"/>
    <sheet name="빈도_기술통계" sheetId="6" r:id="rId6"/>
    <sheet name="검토메모" sheetId="7" r:id="rId7"/>
  </sheets>
  <definedNames>
    <definedName name="_xlnm._FilterDatabase" localSheetId="6" hidden="1">검토메모!$A$1:$G$24</definedName>
    <definedName name="_xlnm._FilterDatabase" localSheetId="3" hidden="1">분석자료!$A$1:$BA$74</definedName>
    <definedName name="_xlnm._FilterDatabase" localSheetId="1" hidden="1">원자료_통합!$A$1:$AP$74</definedName>
    <definedName name="_xlnm._FilterDatabase" localSheetId="4" hidden="1">코드북!$A$1:$H$54</definedName>
    <definedName name="_xlnm._FilterDatabase" localSheetId="2" hidden="1">코딩자료!$A$1:$BB$74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7" i="6" l="1"/>
  <c r="F147" i="6"/>
  <c r="E147" i="6"/>
  <c r="D147" i="6"/>
  <c r="C147" i="6"/>
  <c r="G146" i="6"/>
  <c r="F146" i="6"/>
  <c r="E146" i="6"/>
  <c r="D146" i="6"/>
  <c r="C146" i="6"/>
  <c r="G145" i="6"/>
  <c r="F145" i="6"/>
  <c r="E145" i="6"/>
  <c r="D145" i="6"/>
  <c r="C145" i="6"/>
  <c r="G144" i="6"/>
  <c r="F144" i="6"/>
  <c r="E144" i="6"/>
  <c r="D144" i="6"/>
  <c r="C144" i="6"/>
  <c r="G143" i="6"/>
  <c r="F143" i="6"/>
  <c r="E143" i="6"/>
  <c r="D143" i="6"/>
  <c r="C143" i="6"/>
  <c r="G142" i="6"/>
  <c r="F142" i="6"/>
  <c r="E142" i="6"/>
  <c r="D142" i="6"/>
  <c r="C142" i="6"/>
  <c r="G141" i="6"/>
  <c r="F141" i="6"/>
  <c r="E141" i="6"/>
  <c r="D141" i="6"/>
  <c r="C141" i="6"/>
  <c r="G140" i="6"/>
  <c r="F140" i="6"/>
  <c r="E140" i="6"/>
  <c r="D140" i="6"/>
  <c r="C140" i="6"/>
  <c r="G139" i="6"/>
  <c r="F139" i="6"/>
  <c r="E139" i="6"/>
  <c r="D139" i="6"/>
  <c r="C139" i="6"/>
  <c r="G138" i="6"/>
  <c r="F138" i="6"/>
  <c r="E138" i="6"/>
  <c r="D138" i="6"/>
  <c r="C138" i="6"/>
  <c r="G137" i="6"/>
  <c r="F137" i="6"/>
  <c r="E137" i="6"/>
  <c r="D137" i="6"/>
  <c r="C137" i="6"/>
  <c r="G136" i="6"/>
  <c r="F136" i="6"/>
  <c r="E136" i="6"/>
  <c r="D136" i="6"/>
  <c r="C136" i="6"/>
  <c r="G135" i="6"/>
  <c r="F135" i="6"/>
  <c r="E135" i="6"/>
  <c r="D135" i="6"/>
  <c r="C135" i="6"/>
  <c r="G134" i="6"/>
  <c r="F134" i="6"/>
  <c r="E134" i="6"/>
  <c r="D134" i="6"/>
  <c r="C134" i="6"/>
  <c r="G133" i="6"/>
  <c r="F133" i="6"/>
  <c r="E133" i="6"/>
  <c r="D133" i="6"/>
  <c r="C133" i="6"/>
  <c r="G132" i="6"/>
  <c r="F132" i="6"/>
  <c r="E132" i="6"/>
  <c r="D132" i="6"/>
  <c r="C132" i="6"/>
  <c r="G131" i="6"/>
  <c r="F131" i="6"/>
  <c r="E131" i="6"/>
  <c r="D131" i="6"/>
  <c r="C131" i="6"/>
  <c r="G130" i="6"/>
  <c r="F130" i="6"/>
  <c r="E130" i="6"/>
  <c r="D130" i="6"/>
  <c r="C130" i="6"/>
  <c r="G129" i="6"/>
  <c r="F129" i="6"/>
  <c r="E129" i="6"/>
  <c r="D129" i="6"/>
  <c r="C129" i="6"/>
  <c r="G128" i="6"/>
  <c r="F128" i="6"/>
  <c r="E128" i="6"/>
  <c r="D128" i="6"/>
  <c r="C128" i="6"/>
  <c r="G127" i="6"/>
  <c r="F127" i="6"/>
  <c r="E127" i="6"/>
  <c r="D127" i="6"/>
  <c r="C127" i="6"/>
  <c r="G126" i="6"/>
  <c r="F126" i="6"/>
  <c r="E126" i="6"/>
  <c r="D126" i="6"/>
  <c r="C126" i="6"/>
  <c r="G125" i="6"/>
  <c r="F125" i="6"/>
  <c r="E125" i="6"/>
  <c r="D125" i="6"/>
  <c r="C125" i="6"/>
  <c r="G124" i="6"/>
  <c r="F124" i="6"/>
  <c r="E124" i="6"/>
  <c r="D124" i="6"/>
  <c r="C124" i="6"/>
  <c r="G123" i="6"/>
  <c r="F123" i="6"/>
  <c r="E123" i="6"/>
  <c r="D123" i="6"/>
  <c r="C123" i="6"/>
  <c r="G122" i="6"/>
  <c r="F122" i="6"/>
  <c r="E122" i="6"/>
  <c r="D122" i="6"/>
  <c r="C122" i="6"/>
  <c r="G121" i="6"/>
  <c r="F121" i="6"/>
  <c r="E121" i="6"/>
  <c r="D121" i="6"/>
  <c r="C121" i="6"/>
  <c r="G120" i="6"/>
  <c r="F120" i="6"/>
  <c r="E120" i="6"/>
  <c r="D120" i="6"/>
  <c r="C120" i="6"/>
  <c r="G119" i="6"/>
  <c r="F119" i="6"/>
  <c r="E119" i="6"/>
  <c r="D119" i="6"/>
  <c r="C119" i="6"/>
  <c r="G118" i="6"/>
  <c r="F118" i="6"/>
  <c r="E118" i="6"/>
  <c r="D118" i="6"/>
  <c r="C118" i="6"/>
  <c r="G117" i="6"/>
  <c r="F117" i="6"/>
  <c r="E117" i="6"/>
  <c r="D117" i="6"/>
  <c r="C117" i="6"/>
  <c r="G116" i="6"/>
  <c r="F116" i="6"/>
  <c r="E116" i="6"/>
  <c r="D116" i="6"/>
  <c r="C116" i="6"/>
  <c r="G115" i="6"/>
  <c r="F115" i="6"/>
  <c r="E115" i="6"/>
  <c r="D115" i="6"/>
  <c r="C115" i="6"/>
  <c r="G114" i="6"/>
  <c r="F114" i="6"/>
  <c r="E114" i="6"/>
  <c r="D114" i="6"/>
  <c r="C114" i="6"/>
  <c r="G113" i="6"/>
  <c r="F113" i="6"/>
  <c r="E113" i="6"/>
  <c r="D113" i="6"/>
  <c r="C113" i="6"/>
  <c r="G112" i="6"/>
  <c r="F112" i="6"/>
  <c r="E112" i="6"/>
  <c r="D112" i="6"/>
  <c r="C112" i="6"/>
  <c r="F108" i="6"/>
  <c r="E108" i="6"/>
  <c r="C108" i="6"/>
  <c r="D108" i="6" s="1"/>
  <c r="F107" i="6"/>
  <c r="E107" i="6"/>
  <c r="C107" i="6"/>
  <c r="D107" i="6" s="1"/>
  <c r="F106" i="6"/>
  <c r="E106" i="6"/>
  <c r="C106" i="6"/>
  <c r="D106" i="6" s="1"/>
  <c r="F105" i="6"/>
  <c r="E105" i="6"/>
  <c r="C105" i="6"/>
  <c r="D105" i="6" s="1"/>
  <c r="F104" i="6"/>
  <c r="E104" i="6"/>
  <c r="C104" i="6"/>
  <c r="D104" i="6" s="1"/>
  <c r="F103" i="6"/>
  <c r="E103" i="6"/>
  <c r="C103" i="6"/>
  <c r="D103" i="6" s="1"/>
  <c r="F102" i="6"/>
  <c r="E102" i="6"/>
  <c r="D102" i="6"/>
  <c r="C102" i="6"/>
  <c r="F101" i="6"/>
  <c r="E101" i="6"/>
  <c r="D101" i="6"/>
  <c r="C101" i="6"/>
  <c r="F100" i="6"/>
  <c r="E100" i="6"/>
  <c r="C100" i="6"/>
  <c r="D100" i="6" s="1"/>
  <c r="F99" i="6"/>
  <c r="E99" i="6"/>
  <c r="C99" i="6"/>
  <c r="D99" i="6" s="1"/>
  <c r="F98" i="6"/>
  <c r="E98" i="6"/>
  <c r="C98" i="6"/>
  <c r="D98" i="6" s="1"/>
  <c r="F97" i="6"/>
  <c r="E97" i="6"/>
  <c r="C97" i="6"/>
  <c r="D97" i="6" s="1"/>
  <c r="F74" i="6"/>
  <c r="C58" i="6"/>
  <c r="G51" i="6"/>
  <c r="H48" i="6" s="1"/>
  <c r="E51" i="6"/>
  <c r="F51" i="6" s="1"/>
  <c r="C51" i="6"/>
  <c r="D51" i="6" s="1"/>
  <c r="G50" i="6"/>
  <c r="E50" i="6"/>
  <c r="C50" i="6"/>
  <c r="G49" i="6"/>
  <c r="E49" i="6"/>
  <c r="C49" i="6"/>
  <c r="G48" i="6"/>
  <c r="F48" i="6"/>
  <c r="E48" i="6"/>
  <c r="C48" i="6"/>
  <c r="D48" i="6" s="1"/>
  <c r="G47" i="6"/>
  <c r="E47" i="6"/>
  <c r="F47" i="6" s="1"/>
  <c r="C47" i="6"/>
  <c r="H46" i="6"/>
  <c r="G46" i="6"/>
  <c r="H45" i="6" s="1"/>
  <c r="E46" i="6"/>
  <c r="F45" i="6" s="1"/>
  <c r="C46" i="6"/>
  <c r="D43" i="6" s="1"/>
  <c r="G45" i="6"/>
  <c r="E45" i="6"/>
  <c r="C45" i="6"/>
  <c r="G44" i="6"/>
  <c r="H44" i="6" s="1"/>
  <c r="E44" i="6"/>
  <c r="F44" i="6" s="1"/>
  <c r="C44" i="6"/>
  <c r="G43" i="6"/>
  <c r="F43" i="6"/>
  <c r="E43" i="6"/>
  <c r="C43" i="6"/>
  <c r="H42" i="6"/>
  <c r="G42" i="6"/>
  <c r="E42" i="6"/>
  <c r="F42" i="6" s="1"/>
  <c r="C42" i="6"/>
  <c r="G41" i="6"/>
  <c r="H41" i="6" s="1"/>
  <c r="E41" i="6"/>
  <c r="C41" i="6"/>
  <c r="G40" i="6"/>
  <c r="H40" i="6" s="1"/>
  <c r="E40" i="6"/>
  <c r="C40" i="6"/>
  <c r="G39" i="6"/>
  <c r="E39" i="6"/>
  <c r="F39" i="6" s="1"/>
  <c r="C39" i="6"/>
  <c r="D39" i="6" s="1"/>
  <c r="G38" i="6"/>
  <c r="E38" i="6"/>
  <c r="F38" i="6" s="1"/>
  <c r="D38" i="6"/>
  <c r="C38" i="6"/>
  <c r="G37" i="6"/>
  <c r="E37" i="6"/>
  <c r="C37" i="6"/>
  <c r="D37" i="6" s="1"/>
  <c r="G36" i="6"/>
  <c r="E36" i="6"/>
  <c r="F36" i="6" s="1"/>
  <c r="C36" i="6"/>
  <c r="D36" i="6" s="1"/>
  <c r="G31" i="6"/>
  <c r="F31" i="6"/>
  <c r="E31" i="6"/>
  <c r="D31" i="6"/>
  <c r="C31" i="6"/>
  <c r="G30" i="6"/>
  <c r="F30" i="6"/>
  <c r="E30" i="6"/>
  <c r="D30" i="6"/>
  <c r="C30" i="6"/>
  <c r="G29" i="6"/>
  <c r="F29" i="6"/>
  <c r="E29" i="6"/>
  <c r="D29" i="6"/>
  <c r="C29" i="6"/>
  <c r="G28" i="6"/>
  <c r="F28" i="6"/>
  <c r="E28" i="6"/>
  <c r="D28" i="6"/>
  <c r="C28" i="6"/>
  <c r="G27" i="6"/>
  <c r="F27" i="6"/>
  <c r="E27" i="6"/>
  <c r="D27" i="6"/>
  <c r="C27" i="6"/>
  <c r="G26" i="6"/>
  <c r="F26" i="6"/>
  <c r="E26" i="6"/>
  <c r="D26" i="6"/>
  <c r="C26" i="6"/>
  <c r="G21" i="6"/>
  <c r="E21" i="6"/>
  <c r="C21" i="6"/>
  <c r="G20" i="6"/>
  <c r="H20" i="6" s="1"/>
  <c r="E20" i="6"/>
  <c r="F20" i="6" s="1"/>
  <c r="C20" i="6"/>
  <c r="D20" i="6" s="1"/>
  <c r="G19" i="6"/>
  <c r="H19" i="6" s="1"/>
  <c r="E19" i="6"/>
  <c r="F19" i="6" s="1"/>
  <c r="C19" i="6"/>
  <c r="D19" i="6" s="1"/>
  <c r="G18" i="6"/>
  <c r="H18" i="6" s="1"/>
  <c r="F18" i="6"/>
  <c r="E18" i="6"/>
  <c r="C18" i="6"/>
  <c r="G17" i="6"/>
  <c r="E17" i="6"/>
  <c r="C17" i="6"/>
  <c r="G16" i="6"/>
  <c r="H16" i="6" s="1"/>
  <c r="F16" i="6"/>
  <c r="E16" i="6"/>
  <c r="C16" i="6"/>
  <c r="H15" i="6"/>
  <c r="G15" i="6"/>
  <c r="E15" i="6"/>
  <c r="F15" i="6" s="1"/>
  <c r="C15" i="6"/>
  <c r="D15" i="6" s="1"/>
  <c r="G14" i="6"/>
  <c r="H14" i="6" s="1"/>
  <c r="E14" i="6"/>
  <c r="C14" i="6"/>
  <c r="D14" i="6" s="1"/>
  <c r="G13" i="6"/>
  <c r="H13" i="6" s="1"/>
  <c r="E13" i="6"/>
  <c r="C13" i="6"/>
  <c r="D13" i="6" s="1"/>
  <c r="G12" i="6"/>
  <c r="H12" i="6" s="1"/>
  <c r="E12" i="6"/>
  <c r="F12" i="6" s="1"/>
  <c r="C12" i="6"/>
  <c r="D12" i="6" s="1"/>
  <c r="G11" i="6"/>
  <c r="E11" i="6"/>
  <c r="F11" i="6" s="1"/>
  <c r="C11" i="6"/>
  <c r="D11" i="6" s="1"/>
  <c r="G10" i="6"/>
  <c r="H10" i="6" s="1"/>
  <c r="F10" i="6"/>
  <c r="E10" i="6"/>
  <c r="C10" i="6"/>
  <c r="D10" i="6" s="1"/>
  <c r="G9" i="6"/>
  <c r="E9" i="6"/>
  <c r="F9" i="6" s="1"/>
  <c r="C9" i="6"/>
  <c r="G8" i="6"/>
  <c r="E8" i="6"/>
  <c r="F8" i="6" s="1"/>
  <c r="C8" i="6"/>
  <c r="D8" i="6" s="1"/>
  <c r="H7" i="6"/>
  <c r="G7" i="6"/>
  <c r="E7" i="6"/>
  <c r="F7" i="6" s="1"/>
  <c r="C7" i="6"/>
  <c r="D7" i="6" s="1"/>
  <c r="G6" i="6"/>
  <c r="H6" i="6" s="1"/>
  <c r="E6" i="6"/>
  <c r="C6" i="6"/>
  <c r="D6" i="6" s="1"/>
  <c r="H5" i="6"/>
  <c r="G5" i="6"/>
  <c r="E5" i="6"/>
  <c r="D5" i="6"/>
  <c r="C5" i="6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Z10" i="3"/>
  <c r="AY10" i="3"/>
  <c r="AX10" i="3"/>
  <c r="AW10" i="3"/>
  <c r="AV10" i="3"/>
  <c r="AU10" i="3"/>
  <c r="AT10" i="3"/>
  <c r="AS10" i="3"/>
  <c r="AR10" i="3"/>
  <c r="AQ10" i="3"/>
  <c r="AP10" i="3"/>
  <c r="G72" i="6" s="1"/>
  <c r="AO10" i="3"/>
  <c r="AN10" i="3"/>
  <c r="AM10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Z6" i="3"/>
  <c r="AY6" i="3"/>
  <c r="AX6" i="3"/>
  <c r="G88" i="6" s="1"/>
  <c r="AW6" i="3"/>
  <c r="AV6" i="3"/>
  <c r="AU6" i="3"/>
  <c r="AT6" i="3"/>
  <c r="AS6" i="3"/>
  <c r="AR6" i="3"/>
  <c r="AQ6" i="3"/>
  <c r="AP6" i="3"/>
  <c r="AO6" i="3"/>
  <c r="E69" i="6" s="1"/>
  <c r="AN6" i="3"/>
  <c r="AM6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D68" i="6" s="1"/>
  <c r="AM4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D66" i="6" l="1"/>
  <c r="D44" i="6"/>
  <c r="F72" i="6"/>
  <c r="G75" i="6"/>
  <c r="D63" i="6"/>
  <c r="E82" i="6"/>
  <c r="C76" i="6"/>
  <c r="D17" i="6"/>
  <c r="D45" i="6"/>
  <c r="D49" i="6"/>
  <c r="E71" i="6"/>
  <c r="D87" i="6"/>
  <c r="E90" i="6"/>
  <c r="C68" i="6"/>
  <c r="G78" i="6"/>
  <c r="F66" i="6"/>
  <c r="H8" i="6"/>
  <c r="F17" i="6"/>
  <c r="H36" i="6"/>
  <c r="D40" i="6"/>
  <c r="G64" i="6"/>
  <c r="C81" i="6"/>
  <c r="F69" i="6"/>
  <c r="D71" i="6"/>
  <c r="G81" i="6"/>
  <c r="D9" i="6"/>
  <c r="F13" i="6"/>
  <c r="H17" i="6"/>
  <c r="F40" i="6"/>
  <c r="F49" i="6"/>
  <c r="G89" i="6"/>
  <c r="D18" i="6"/>
  <c r="H49" i="6"/>
  <c r="E74" i="6"/>
  <c r="G66" i="6"/>
  <c r="F77" i="6"/>
  <c r="G83" i="6"/>
  <c r="D90" i="6"/>
  <c r="G92" i="6"/>
  <c r="F5" i="6"/>
  <c r="H9" i="6"/>
  <c r="D42" i="6"/>
  <c r="D46" i="6"/>
  <c r="D50" i="6"/>
  <c r="F80" i="6"/>
  <c r="G80" i="6"/>
  <c r="H37" i="6"/>
  <c r="F50" i="6"/>
  <c r="D91" i="6"/>
  <c r="F91" i="6"/>
  <c r="F83" i="6"/>
  <c r="F92" i="6"/>
  <c r="F14" i="6"/>
  <c r="D79" i="6"/>
  <c r="E66" i="6"/>
  <c r="C92" i="6"/>
  <c r="F82" i="6"/>
  <c r="D76" i="6"/>
  <c r="F6" i="6"/>
  <c r="D47" i="6"/>
  <c r="G91" i="6"/>
  <c r="H38" i="6"/>
  <c r="C87" i="6"/>
  <c r="C57" i="6"/>
  <c r="H47" i="6"/>
  <c r="F63" i="6"/>
  <c r="H11" i="6"/>
  <c r="D16" i="6"/>
  <c r="H39" i="6"/>
  <c r="H43" i="6"/>
  <c r="D65" i="6"/>
  <c r="E68" i="6"/>
  <c r="F71" i="6"/>
  <c r="G74" i="6"/>
  <c r="C78" i="6"/>
  <c r="D81" i="6"/>
  <c r="E87" i="6"/>
  <c r="F90" i="6"/>
  <c r="D41" i="6"/>
  <c r="F46" i="6"/>
  <c r="H51" i="6"/>
  <c r="E65" i="6"/>
  <c r="F68" i="6"/>
  <c r="G71" i="6"/>
  <c r="C75" i="6"/>
  <c r="D78" i="6"/>
  <c r="E81" i="6"/>
  <c r="F87" i="6"/>
  <c r="G90" i="6"/>
  <c r="G77" i="6"/>
  <c r="C56" i="6"/>
  <c r="F65" i="6"/>
  <c r="G68" i="6"/>
  <c r="C72" i="6"/>
  <c r="D75" i="6"/>
  <c r="E78" i="6"/>
  <c r="F81" i="6"/>
  <c r="G87" i="6"/>
  <c r="C91" i="6"/>
  <c r="G65" i="6"/>
  <c r="D72" i="6"/>
  <c r="F78" i="6"/>
  <c r="C66" i="6"/>
  <c r="D69" i="6"/>
  <c r="E72" i="6"/>
  <c r="F75" i="6"/>
  <c r="C82" i="6"/>
  <c r="D88" i="6"/>
  <c r="E91" i="6"/>
  <c r="F41" i="6"/>
  <c r="C69" i="6"/>
  <c r="E75" i="6"/>
  <c r="C88" i="6"/>
  <c r="C63" i="6"/>
  <c r="C79" i="6"/>
  <c r="D82" i="6"/>
  <c r="E88" i="6"/>
  <c r="E79" i="6"/>
  <c r="C70" i="6"/>
  <c r="G82" i="6"/>
  <c r="D73" i="6"/>
  <c r="F79" i="6"/>
  <c r="D92" i="6"/>
  <c r="G63" i="6"/>
  <c r="C67" i="6"/>
  <c r="D70" i="6"/>
  <c r="F76" i="6"/>
  <c r="G79" i="6"/>
  <c r="C83" i="6"/>
  <c r="D89" i="6"/>
  <c r="E92" i="6"/>
  <c r="C73" i="6"/>
  <c r="E76" i="6"/>
  <c r="C89" i="6"/>
  <c r="E73" i="6"/>
  <c r="C64" i="6"/>
  <c r="D67" i="6"/>
  <c r="E70" i="6"/>
  <c r="F73" i="6"/>
  <c r="G76" i="6"/>
  <c r="C80" i="6"/>
  <c r="D83" i="6"/>
  <c r="E89" i="6"/>
  <c r="E63" i="6"/>
  <c r="E67" i="6"/>
  <c r="G73" i="6"/>
  <c r="E83" i="6"/>
  <c r="C65" i="6"/>
  <c r="F88" i="6"/>
  <c r="G69" i="6"/>
  <c r="F37" i="6"/>
  <c r="H50" i="6"/>
  <c r="D64" i="6"/>
  <c r="F70" i="6"/>
  <c r="C77" i="6"/>
  <c r="D80" i="6"/>
  <c r="F89" i="6"/>
  <c r="E64" i="6"/>
  <c r="F67" i="6"/>
  <c r="G70" i="6"/>
  <c r="C74" i="6"/>
  <c r="D77" i="6"/>
  <c r="E80" i="6"/>
  <c r="F64" i="6"/>
  <c r="C71" i="6"/>
  <c r="E77" i="6"/>
  <c r="C90" i="6"/>
  <c r="G67" i="6"/>
  <c r="D7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build_workbook</author>
  </authors>
  <commentList>
    <comment ref="H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A-1) 귀하의 소속 구분은?</t>
        </r>
      </text>
    </comment>
    <comment ref="I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A-2) 귀하의 성별은?</t>
        </r>
      </text>
    </comment>
    <comment ref="J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A-3) 응답일 현재 귀하의 만 나이는?</t>
        </r>
      </text>
    </comment>
    <comment ref="K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A-4) 귀하의 건설현장 근무 경력은 약 몇 년입니까? (응답일까지 안전관리·공사감독·시공관리 등 현장 업무에 종사한 전체 기간)</t>
        </r>
      </text>
    </comment>
    <comment ref="L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A-5) 현장에서 귀하가 맡고 있는 역할은?</t>
        </r>
      </text>
    </comment>
    <comment ref="M1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A-6) 현재 담당 현장의 총공사비 구간은?</t>
        </r>
      </text>
    </comment>
    <comment ref="N1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A-7) 안전관리 담당자가 현장에 없을 때(이동·사무실 업무·야간 등) 위험 상황을 알게 되는 주된 경로는 무엇입니까?</t>
        </r>
      </text>
    </comment>
    <comment ref="O1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A-8) 비점검 시간에 생긴 위험 상황은 보통 언제 알게 됩니까?</t>
        </r>
      </text>
    </comment>
    <comment ref="P1" authorId="0" shapeId="0" xr:uid="{00000000-0006-0000-0100-000009000000}">
      <text>
        <r>
          <rPr>
            <sz val="11"/>
            <color theme="1"/>
            <rFont val="맑은 고딕"/>
            <family val="2"/>
            <scheme val="minor"/>
          </rPr>
          <t>A-9) 위험 상황을 알고 난 뒤 현장에 조치 지시가 전달되기까지 보통 얼마나 걸립니까?</t>
        </r>
      </text>
    </comment>
    <comment ref="Q1" authorId="0" shapeId="0" xr:uid="{00000000-0006-0000-0100-00000A000000}">
      <text>
        <r>
          <rPr>
            <sz val="11"/>
            <color theme="1"/>
            <rFont val="맑은 고딕"/>
            <family val="2"/>
            <scheme val="minor"/>
          </rPr>
          <t>B-1) 우리 현장에서는 위험 상황을 조기에 인지한다.</t>
        </r>
      </text>
    </comment>
    <comment ref="R1" authorId="0" shapeId="0" xr:uid="{00000000-0006-0000-0100-00000B000000}">
      <text>
        <r>
          <rPr>
            <sz val="11"/>
            <color theme="1"/>
            <rFont val="맑은 고딕"/>
            <family val="2"/>
            <scheme val="minor"/>
          </rPr>
          <t>B-2) 우리 현장에서는 위험 상황을 인지하면 초동 대응을 빠르게 지시한다.</t>
        </r>
      </text>
    </comment>
    <comment ref="S1" authorId="0" shapeId="0" xr:uid="{00000000-0006-0000-0100-00000C000000}">
      <text>
        <r>
          <rPr>
            <sz val="11"/>
            <color theme="1"/>
            <rFont val="맑은 고딕"/>
            <family val="2"/>
            <scheme val="minor"/>
          </rPr>
          <t>B-3) 우리 현장에서는 안전관리 담당자가 현장 밖에서도 위험 상황을 신속하게 파악한다.</t>
        </r>
      </text>
    </comment>
    <comment ref="T1" authorId="0" shapeId="0" xr:uid="{00000000-0006-0000-0100-00000D000000}">
      <text>
        <r>
          <rPr>
            <sz val="11"/>
            <color theme="1"/>
            <rFont val="맑은 고딕"/>
            <family val="2"/>
            <scheme val="minor"/>
          </rPr>
          <t>B-4) 우리 현장에서는 멀리 떨어진 곳에서도 위험 정보와 조치 필요사항을 원활하게 공유한다.</t>
        </r>
      </text>
    </comment>
    <comment ref="U1" authorId="0" shapeId="0" xr:uid="{00000000-0006-0000-0100-00000E000000}">
      <text>
        <r>
          <rPr>
            <sz val="11"/>
            <color theme="1"/>
            <rFont val="맑은 고딕"/>
            <family val="2"/>
            <scheme val="minor"/>
          </rPr>
          <t>B-5) 우리 현장에서는 제한된 인력으로도 현장 순찰과 위험 확인 업무를 효율적으로 수행한다.</t>
        </r>
      </text>
    </comment>
    <comment ref="V1" authorId="0" shapeId="0" xr:uid="{00000000-0006-0000-0100-00000F000000}">
      <text>
        <r>
          <rPr>
            <sz val="11"/>
            <color theme="1"/>
            <rFont val="맑은 고딕"/>
            <family val="2"/>
            <scheme val="minor"/>
          </rPr>
          <t>B-6) 우리 현장에서는 불필요한 확인 업무에 쫓기지 않고 실제 위험 대응에 집중한다.</t>
        </r>
      </text>
    </comment>
    <comment ref="W1" authorId="0" shapeId="0" xr:uid="{00000000-0006-0000-0100-000010000000}">
      <text>
        <r>
          <rPr>
            <sz val="11"/>
            <color theme="1"/>
            <rFont val="맑은 고딕"/>
            <family val="2"/>
            <scheme val="minor"/>
          </rPr>
          <t>B-7) 우리 현장에서는 필요한 경우 시정·작업중지 등 통제 조치를 신속하게 시행한다.</t>
        </r>
      </text>
    </comment>
    <comment ref="X1" authorId="0" shapeId="0" xr:uid="{00000000-0006-0000-0100-000011000000}">
      <text>
        <r>
          <rPr>
            <sz val="11"/>
            <color theme="1"/>
            <rFont val="맑은 고딕"/>
            <family val="2"/>
            <scheme val="minor"/>
          </rPr>
          <t>B-8) 우리 현장에서는 사고로 이어질 수 있는 위험요인을 실질적으로 통제한다.</t>
        </r>
      </text>
    </comment>
    <comment ref="Y1" authorId="0" shapeId="0" xr:uid="{00000000-0006-0000-0100-000012000000}">
      <text>
        <r>
          <rPr>
            <sz val="11"/>
            <color theme="1"/>
            <rFont val="맑은 고딕"/>
            <family val="2"/>
            <scheme val="minor"/>
          </rPr>
          <t>C-1) 우리 현장은 고가의 스마트 안전장비를 도입하기에는 예산이 부족하다.</t>
        </r>
      </text>
    </comment>
    <comment ref="Z1" authorId="0" shapeId="0" xr:uid="{00000000-0006-0000-0100-000013000000}">
      <text>
        <r>
          <rPr>
            <sz val="11"/>
            <color theme="1"/>
            <rFont val="맑은 고딕"/>
            <family val="2"/>
            <scheme val="minor"/>
          </rPr>
          <t>C-2) 우리 현장은 스마트 안전장비나 관제 시스템 도입에 쓸 안전관리 예산이 부족하게 편성되어 있다.</t>
        </r>
      </text>
    </comment>
    <comment ref="AA1" authorId="0" shapeId="0" xr:uid="{00000000-0006-0000-0100-000014000000}">
      <text>
        <r>
          <rPr>
            <sz val="11"/>
            <color theme="1"/>
            <rFont val="맑은 고딕"/>
            <family val="2"/>
            <scheme val="minor"/>
          </rPr>
          <t>C-3) 우리 현장은 산업안전보건관리비 계상 기준만으로는 스마트 안전장비나 관제 시스템을 도입하기 어렵다.</t>
        </r>
      </text>
    </comment>
    <comment ref="AB1" authorId="0" shapeId="0" xr:uid="{00000000-0006-0000-0100-000015000000}">
      <text>
        <r>
          <rPr>
            <sz val="11"/>
            <color theme="1"/>
            <rFont val="맑은 고딕"/>
            <family val="2"/>
            <scheme val="minor"/>
          </rPr>
          <t>C-4) 우리 현장은 소속 기관인 본사나 발주청으로부터 스마트 안전장비나 관제 시스템 도입 예산을 별도로 지원받기 어렵다.</t>
        </r>
      </text>
    </comment>
    <comment ref="AC1" authorId="0" shapeId="0" xr:uid="{00000000-0006-0000-0100-000016000000}">
      <text>
        <r>
          <rPr>
            <sz val="11"/>
            <color theme="1"/>
            <rFont val="맑은 고딕"/>
            <family val="2"/>
            <scheme val="minor"/>
          </rPr>
          <t>D-1) 본 시스템은 일반 사무용 PC로 구동되어 고가 AI 서버 등 별도 장비에 대한 투자 부담이 적다.</t>
        </r>
      </text>
    </comment>
    <comment ref="AD1" authorId="0" shapeId="0" xr:uid="{00000000-0006-0000-0100-000017000000}">
      <text>
        <r>
          <rPr>
            <sz val="11"/>
            <color theme="1"/>
            <rFont val="맑은 고딕"/>
            <family val="2"/>
            <scheme val="minor"/>
          </rPr>
          <t>D-2) 본 시스템은 제조사가 다른 기존 현장 카메라와도 호환되어 카메라를 교체하지 않고 도입할 수 있다.</t>
        </r>
      </text>
    </comment>
    <comment ref="AE1" authorId="0" shapeId="0" xr:uid="{00000000-0006-0000-0100-000018000000}">
      <text>
        <r>
          <rPr>
            <sz val="11"/>
            <color theme="1"/>
            <rFont val="맑은 고딕"/>
            <family val="2"/>
            <scheme val="minor"/>
          </rPr>
          <t>D-3) 본 시스템은 짧은 시간에 알림이 몰려도 느려지거나 멈추지 않고 안정적으로 작동한다.</t>
        </r>
      </text>
    </comment>
    <comment ref="AF1" authorId="0" shapeId="0" xr:uid="{00000000-0006-0000-0100-000019000000}">
      <text>
        <r>
          <rPr>
            <sz val="11"/>
            <color theme="1"/>
            <rFont val="맑은 고딕"/>
            <family val="2"/>
            <scheme val="minor"/>
          </rPr>
          <t>D-4) 본 시스템은 통신 상태가 좋지 않은 현장에서도 위험 여부를 가려내는 기능이 안정적으로 작동한다.</t>
        </r>
      </text>
    </comment>
    <comment ref="AG1" authorId="0" shapeId="0" xr:uid="{00000000-0006-0000-0100-00001A000000}">
      <text>
        <r>
          <rPr>
            <sz val="11"/>
            <color theme="1"/>
            <rFont val="맑은 고딕"/>
            <family val="2"/>
            <scheme val="minor"/>
          </rPr>
          <t>D-5) 본 시스템은 현장의 나무나 그림자 같은 배경을 사람이나 위험 요소로 잘못 알리는 일이 드물다.</t>
        </r>
      </text>
    </comment>
    <comment ref="AH1" authorId="0" shapeId="0" xr:uid="{00000000-0006-0000-0100-00001B000000}">
      <text>
        <r>
          <rPr>
            <sz val="11"/>
            <color theme="1"/>
            <rFont val="맑은 고딕"/>
            <family val="2"/>
            <scheme val="minor"/>
          </rPr>
          <t>D-6) 본 시스템은 정상 작업을 위험으로 잘못 알리는 일이 드물다.</t>
        </r>
      </text>
    </comment>
    <comment ref="AI1" authorId="0" shapeId="0" xr:uid="{00000000-0006-0000-0100-00001C000000}">
      <text>
        <r>
          <rPr>
            <sz val="11"/>
            <color theme="1"/>
            <rFont val="맑은 고딕"/>
            <family val="2"/>
            <scheme val="minor"/>
          </rPr>
          <t>D-7) 위험 상황이 발생하면 위험 요약과 이미지가 모바일 메신저로 신속하게 전달된다.</t>
        </r>
      </text>
    </comment>
    <comment ref="AJ1" authorId="0" shapeId="0" xr:uid="{00000000-0006-0000-0100-00001D000000}">
      <text>
        <r>
          <rPr>
            <sz val="11"/>
            <color theme="1"/>
            <rFont val="맑은 고딕"/>
            <family val="2"/>
            <scheme val="minor"/>
          </rPr>
          <t>D-8) 모바일 메신저로 받은 알림만으로도 현장 상황을 쉽게 파악할 수 있다.</t>
        </r>
      </text>
    </comment>
    <comment ref="AK1" authorId="0" shapeId="0" xr:uid="{00000000-0006-0000-0100-00001E000000}">
      <text>
        <r>
          <rPr>
            <sz val="11"/>
            <color theme="1"/>
            <rFont val="맑은 고딕"/>
            <family val="2"/>
            <scheme val="minor"/>
          </rPr>
          <t>E-1) 본 시스템이 위험이 아닌 상황을 걸러 주어 잦은 알림 확인에 따른 스트레스가 줄었다.</t>
        </r>
      </text>
    </comment>
    <comment ref="AL1" authorId="0" shapeId="0" xr:uid="{00000000-0006-0000-0100-00001F000000}">
      <text>
        <r>
          <rPr>
            <sz val="11"/>
            <color theme="1"/>
            <rFont val="맑은 고딕"/>
            <family val="2"/>
            <scheme val="minor"/>
          </rPr>
          <t>E-2) 불필요한 알림을 확인하는 시간이 줄어 핵심 업무에 더 집중하게 되었다.</t>
        </r>
      </text>
    </comment>
    <comment ref="AM1" authorId="0" shapeId="0" xr:uid="{00000000-0006-0000-0100-000020000000}">
      <text>
        <r>
          <rPr>
            <sz val="11"/>
            <color theme="1"/>
            <rFont val="맑은 고딕"/>
            <family val="2"/>
            <scheme val="minor"/>
          </rPr>
          <t>E-3) 알림이 오면 ‘또 잘못 온 알림’으로 여겨 무시하기보다 바로 확인하는 경우가 늘었다.</t>
        </r>
      </text>
    </comment>
    <comment ref="AN1" authorId="0" shapeId="0" xr:uid="{00000000-0006-0000-0100-000021000000}">
      <text>
        <r>
          <rPr>
            <sz val="11"/>
            <color theme="1"/>
            <rFont val="맑은 고딕"/>
            <family val="2"/>
            <scheme val="minor"/>
          </rPr>
          <t>E-4) 본 시스템 도입 이후 알림으로 인한 피로감이 줄었다.</t>
        </r>
      </text>
    </comment>
  </commentList>
</comments>
</file>

<file path=xl/sharedStrings.xml><?xml version="1.0" encoding="utf-8"?>
<sst xmlns="http://schemas.openxmlformats.org/spreadsheetml/2006/main" count="3088" uniqueCount="573">
  <si>
    <t>설문 응답 정리본</t>
  </si>
  <si>
    <t>목적</t>
  </si>
  <si>
    <t>Google Forms 응답 원본(도입/미도입 분기로 열이 두 묶음)을 한 열 세트로 합치고, 숫자 코딩·파생 척도·빈도/기술통계를 정리한 작업본.</t>
  </si>
  <si>
    <t>원본 경로</t>
  </si>
  <si>
    <t>01.docs/설문결과/중소규모 건설현장을 위한 YOLO-LLM 안전관제 시스템 개발 및 실증 연구(응답).xlsx</t>
  </si>
  <si>
    <t>원본 SHA256</t>
  </si>
  <si>
    <t>e81a9f6fb5e2557024bdade531bd467a6701944a6d458699334ce94d34f68027  (읽기 전용 — 이 파일 생성 전후 불변 확인)</t>
  </si>
  <si>
    <t>생성 시각</t>
  </si>
  <si>
    <t>2026-10-24 09:03 (Asia/Seoul)</t>
  </si>
  <si>
    <t>생성 스크립트</t>
  </si>
  <si>
    <t>tools/survey_analysis/build_workbook.py (코딩 규칙: tools/survey_analysis/coding.py)</t>
  </si>
  <si>
    <t>코딩 규칙 근거</t>
  </si>
  <si>
    <t>03.plan/261024_0850_설문응답_정리_분석_원고반영_계획.md 0.3·0.4절, 문항 전문 01.docs/부록1_설문지_양식.md, 변수 역할 01.docs/04_연구설계.md &lt;표 4-3&gt;</t>
  </si>
  <si>
    <t>응답 수</t>
  </si>
  <si>
    <t>전체 73건(도입 34, 미도입 39), 분석 포함 include=1 71건(도입 32, 미도입 39). 시험 응답 2건 제외.</t>
  </si>
  <si>
    <t>집단 기준</t>
  </si>
  <si>
    <t>group은 첫 질문의 자기보고 분기값이다. 원고 원칙상 분석용 집단은 조사 명부로 판정하므로 이 값은 '명부 대조 전 자기보고 기준'이다.</t>
  </si>
  <si>
    <t>jamovi 투입</t>
  </si>
  <si>
    <t>분석자료 시트 또는 01.docs/설문결과/analysis/coded_data.csv(UTF-8 BOM)를 사용하고 include=1로 필터한다. 성명·현장명은 들어 있지 않다.</t>
  </si>
  <si>
    <t>값 전용 시트</t>
  </si>
  <si>
    <t>분석자료는 설계상 값 전용(수식 없음)이다. 파생값은 Python으로 계산했으며 코딩자료의 수식과 같은 규칙이다(검증: 전 셀 일치).</t>
  </si>
  <si>
    <t>색 범례</t>
  </si>
  <si>
    <t>파란 글자 = 입력값(원문·코딩값·값 전용 자료), 검은 글자 = 수식, 노란 채움 = D함수 조건 범위(수정 금지).</t>
  </si>
  <si>
    <t>자료 특성 요약</t>
  </si>
  <si>
    <t>① 도입 집단 전원 남성(여성은 미도입에만) ② 소속–역할 중복(발주청≈공사감독)으로 설계행렬 순위 결함 가능 ③ 현장명·성명이 5건에만 있어 중복 확인은 타임스탬프·응답 벡터로만 가능(완전 동일 벡터 0건) ④ 집단은 명부 대조 전 자기보고 ⑤ 도입 집단 중 시스템 경로 작동(sys_path=1)은 소수 — 상세는 검토메모.</t>
  </si>
  <si>
    <t>검토메모</t>
  </si>
  <si>
    <t>23개 항목. '사용자 확인 필요'·'확인 필요' 상태를 먼저 본다.</t>
  </si>
  <si>
    <t>시트</t>
  </si>
  <si>
    <t>설명</t>
  </si>
  <si>
    <t>README</t>
  </si>
  <si>
    <t>이 안내</t>
  </si>
  <si>
    <t>원자료_통합</t>
  </si>
  <si>
    <t>응답 1건=1행(73행). 두 분기를 한 열 세트(A-1∼E-4)로 합친 원문 텍스트. 미도입의 D·E는 빈칸. 머리글 메모에 문항 전문.</t>
  </si>
  <si>
    <t>코딩자료</t>
  </si>
  <si>
    <t>같은 73행의 숫자 코딩값(값) + 파생변수(수식: Y_total·Y1∼Y5·W·D_sub1∼4·D_total·E_total·sys_path). include·exclude_reason.</t>
  </si>
  <si>
    <t>분석자료</t>
  </si>
  <si>
    <t>값 전용 jamovi/CSV 투입본. ASCII 변수명, 성명·현장명 제외. coded_data.csv와 동일.</t>
  </si>
  <si>
    <t>코드북</t>
  </si>
  <si>
    <t>변수명·블록·문항 전문(부록1)·코딩 규칙·하위요인·분석 역할(&lt;표 4-3&gt;)·비고.</t>
  </si>
  <si>
    <t>빈도_기술통계</t>
  </si>
  <si>
    <t>코딩자료를 참조하는 수식(COUNTIFS·D함수). 집단별(도입/미도입/전체, include=1) — 05장 &lt;표 5-1&gt;·&lt;표 5-3&gt; 골격 순서.</t>
  </si>
  <si>
    <t>자료 특성·이상값·결측·중복 의심·제외·검증 결과. 각 건의 resp_id·원본 행·내용·처리·상태.</t>
  </si>
  <si>
    <t>resp_id</t>
  </si>
  <si>
    <t>원본행</t>
  </si>
  <si>
    <t>타임스탬프</t>
  </si>
  <si>
    <t>집단</t>
  </si>
  <si>
    <t>group</t>
  </si>
  <si>
    <t>현장명</t>
  </si>
  <si>
    <t>성명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</si>
  <si>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</si>
  <si>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</si>
  <si>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</si>
  <si>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</si>
  <si>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</si>
  <si>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</si>
  <si>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</si>
  <si>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</si>
  <si>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</si>
  <si>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B-1</t>
  </si>
  <si>
    <t>B-2</t>
  </si>
  <si>
    <t>B-3</t>
  </si>
  <si>
    <t>B-4</t>
  </si>
  <si>
    <t>B-5</t>
  </si>
  <si>
    <t>B-6</t>
  </si>
  <si>
    <t>B-7</t>
  </si>
  <si>
    <t>B-8</t>
  </si>
  <si>
    <t>C-1</t>
  </si>
  <si>
    <t>C-2</t>
  </si>
  <si>
    <t>C-3</t>
  </si>
  <si>
    <t>C-4</t>
  </si>
  <si>
    <t>D-1</t>
  </si>
  <si>
    <t>D-2</t>
  </si>
  <si>
    <t>D-3</t>
  </si>
  <si>
    <t>D-4</t>
  </si>
  <si>
    <t>D-5</t>
  </si>
  <si>
    <t>D-6</t>
  </si>
  <si>
    <t>D-7</t>
  </si>
  <si>
    <t>D-8</t>
  </si>
  <si>
    <t>E-1</t>
  </si>
  <si>
    <t>E-2</t>
  </si>
  <si>
    <t>E-3</t>
  </si>
  <si>
    <t>E-4</t>
  </si>
  <si>
    <t>include</t>
  </si>
  <si>
    <t>exclude_reason</t>
  </si>
  <si>
    <t>R001</t>
  </si>
  <si>
    <t>CCTV YOLO-LLM 안전알림 도입 현장</t>
  </si>
  <si>
    <t>테스트</t>
  </si>
  <si>
    <t>진정한</t>
  </si>
  <si>
    <t>발주청(공사감독·감리원 포함)</t>
  </si>
  <si>
    <t>남성</t>
  </si>
  <si>
    <t>공사감독</t>
  </si>
  <si>
    <t>50억 원 이상∼120억 원 미만</t>
  </si>
  <si>
    <t>사무실 등에서 CCTV 화면을 직접 본다</t>
  </si>
  <si>
    <t>발생 직후 알림으로</t>
  </si>
  <si>
    <t>5분 초과∼30분</t>
  </si>
  <si>
    <t>③ 보통이다</t>
  </si>
  <si>
    <t>시험 응답(현장명 '테스트')</t>
  </si>
  <si>
    <t>R002</t>
  </si>
  <si>
    <t>없음</t>
  </si>
  <si>
    <t>윤혁</t>
  </si>
  <si>
    <t>20억 원 미만</t>
  </si>
  <si>
    <t>알게 될 방법이 없다</t>
  </si>
  <si>
    <t>다음 순찰 때</t>
  </si>
  <si>
    <t>즉시∼5분</t>
  </si>
  <si>
    <t>⑤ 매우 그렇다</t>
  </si>
  <si>
    <t>연구자 본인 시험 응답(현장명 '없음')</t>
  </si>
  <si>
    <t>R003</t>
  </si>
  <si>
    <t>CCTV YOLO-LLM 안전알림 미도입 현장</t>
  </si>
  <si>
    <t>구법지구수리시설 개보수사업</t>
  </si>
  <si>
    <t>이택수</t>
  </si>
  <si>
    <t>시공사</t>
  </si>
  <si>
    <t>현장소장</t>
  </si>
  <si>
    <t>20억 원 이상∼50억 원 미만</t>
  </si>
  <si>
    <t>작업자나 반장의 전화·보고</t>
  </si>
  <si>
    <t>누군가 알려줄 때</t>
  </si>
  <si>
    <t>② 그렇지 않다</t>
  </si>
  <si>
    <t>④ 그렇다</t>
  </si>
  <si>
    <t>R004</t>
  </si>
  <si>
    <t>신원지구 배수개선사업 토목.기계.건축공사</t>
  </si>
  <si>
    <t>김상운</t>
  </si>
  <si>
    <t>R005</t>
  </si>
  <si>
    <t>소청 하수처리시설확충사업</t>
  </si>
  <si>
    <t>정운천</t>
  </si>
  <si>
    <t>R006</t>
  </si>
  <si>
    <t>안전관리자</t>
  </si>
  <si>
    <t>120억 원 이상</t>
  </si>
  <si>
    <t>R007</t>
  </si>
  <si>
    <t>R008</t>
  </si>
  <si>
    <t>R009</t>
  </si>
  <si>
    <t>30분 초과∼1시간</t>
  </si>
  <si>
    <t>R010</t>
  </si>
  <si>
    <t>자동 알림(문자·메신저·앱)을 받는다</t>
  </si>
  <si>
    <t>R011</t>
  </si>
  <si>
    <t>R012</t>
  </si>
  <si>
    <t>R013</t>
  </si>
  <si>
    <t>모르고 지나가는 경우가 많다</t>
  </si>
  <si>
    <t>R014</t>
  </si>
  <si>
    <t>R015</t>
  </si>
  <si>
    <t>R016</t>
  </si>
  <si>
    <t>① 전혀 그렇지 않다</t>
  </si>
  <si>
    <t>R017</t>
  </si>
  <si>
    <t>R018</t>
  </si>
  <si>
    <t>R019</t>
  </si>
  <si>
    <t>R020</t>
  </si>
  <si>
    <t>현장상주</t>
  </si>
  <si>
    <t>R021</t>
  </si>
  <si>
    <t>R022</t>
  </si>
  <si>
    <t>R023</t>
  </si>
  <si>
    <t>R024</t>
  </si>
  <si>
    <t>수시로 현장을 답사하여 확인한다</t>
  </si>
  <si>
    <t>R025</t>
  </si>
  <si>
    <t>R026</t>
  </si>
  <si>
    <t>R027</t>
  </si>
  <si>
    <t>R028</t>
  </si>
  <si>
    <t>R029</t>
  </si>
  <si>
    <t>R030</t>
  </si>
  <si>
    <t>여성</t>
  </si>
  <si>
    <t>.</t>
  </si>
  <si>
    <t>R031</t>
  </si>
  <si>
    <t>R032</t>
  </si>
  <si>
    <t>R033</t>
  </si>
  <si>
    <t>현장상주 미상주시 대체직원 상주</t>
  </si>
  <si>
    <t>R034</t>
  </si>
  <si>
    <t>R035</t>
  </si>
  <si>
    <t>R036</t>
  </si>
  <si>
    <t>R037</t>
  </si>
  <si>
    <t>사업관리(부장)</t>
  </si>
  <si>
    <t>R038</t>
  </si>
  <si>
    <t>현장상주 직접확인</t>
  </si>
  <si>
    <t>R039</t>
  </si>
  <si>
    <t>기술사사무소</t>
  </si>
  <si>
    <t>1시간 초과 또는 다음 순찰 때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</si>
  <si>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</si>
  <si>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</si>
  <si>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</si>
  <si>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</si>
  <si>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</si>
  <si>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</si>
  <si>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</si>
  <si>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</si>
  <si>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</si>
  <si>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상주 근무자의 비상연락망 가동</t>
  </si>
  <si>
    <t>R049</t>
  </si>
  <si>
    <t>R050</t>
  </si>
  <si>
    <t>R051</t>
  </si>
  <si>
    <t>R052</t>
  </si>
  <si>
    <t>R053</t>
  </si>
  <si>
    <t>R054</t>
  </si>
  <si>
    <t>R055</t>
  </si>
  <si>
    <t>사업관리(안전포함)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</si>
  <si>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</si>
  <si>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</si>
  <si>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</si>
  <si>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</si>
  <si>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</si>
  <si>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</si>
  <si>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</si>
  <si>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</si>
  <si>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</si>
  <si>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</si>
  <si>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</si>
  <si>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</si>
  <si>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</si>
  <si>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</si>
  <si>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</si>
  <si>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</si>
  <si>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</si>
  <si>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공무</t>
  </si>
  <si>
    <t>R073</t>
  </si>
  <si>
    <t>설계자</t>
  </si>
  <si>
    <t>A1_소속</t>
  </si>
  <si>
    <t>A2_성별</t>
  </si>
  <si>
    <t>A3_나이</t>
  </si>
  <si>
    <t>A4_경력</t>
  </si>
  <si>
    <t>A5_역할</t>
  </si>
  <si>
    <t>A5_기타텍스트</t>
  </si>
  <si>
    <t>A6_총공사비</t>
  </si>
  <si>
    <t>A7_인지경로</t>
  </si>
  <si>
    <t>A7_기타텍스트</t>
  </si>
  <si>
    <t>A8_인지시점</t>
  </si>
  <si>
    <t>A9_전달소요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</si>
  <si>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</si>
  <si>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</si>
  <si>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</si>
  <si>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</si>
  <si>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</si>
  <si>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</si>
  <si>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</si>
  <si>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</si>
  <si>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</si>
  <si>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</si>
  <si>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</si>
  <si>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</si>
  <si>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</si>
  <si>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</si>
  <si>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</si>
  <si>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</si>
  <si>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</si>
  <si>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</si>
  <si>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</si>
  <si>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</si>
  <si>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</si>
  <si>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</si>
  <si>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</si>
  <si>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</si>
  <si>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Y_total</t>
  </si>
  <si>
    <t>Y1_조기인지</t>
  </si>
  <si>
    <t>Y2_대응신속성</t>
  </si>
  <si>
    <t>Y3_원격파악</t>
  </si>
  <si>
    <t>Y4_순찰부담경감</t>
  </si>
  <si>
    <t>Y5_위험통제력</t>
  </si>
  <si>
    <t>W_예산제약</t>
  </si>
  <si>
    <t>D_sub1_인프라범용성</t>
  </si>
  <si>
    <t>D_sub2_탐지제어안정성</t>
  </si>
  <si>
    <t>D_sub3_오탐필터링</t>
  </si>
  <si>
    <t>D_sub4_알림전파즉각성</t>
  </si>
  <si>
    <t>D_total</t>
  </si>
  <si>
    <t>E_total</t>
  </si>
  <si>
    <t>sys_path</t>
  </si>
  <si>
    <t>A1_affil</t>
  </si>
  <si>
    <t>A2_sex</t>
  </si>
  <si>
    <t>A3_age</t>
  </si>
  <si>
    <t>A4_exp</t>
  </si>
  <si>
    <t>A5_role</t>
  </si>
  <si>
    <t>A5_role_other</t>
  </si>
  <si>
    <t>A6_cost</t>
  </si>
  <si>
    <t>A7_path</t>
  </si>
  <si>
    <t>A7_path_other</t>
  </si>
  <si>
    <t>A8_when</t>
  </si>
  <si>
    <t>A9_lag</t>
  </si>
  <si>
    <t>Y1</t>
  </si>
  <si>
    <t>Y2</t>
  </si>
  <si>
    <t>Y3</t>
  </si>
  <si>
    <t>Y4</t>
  </si>
  <si>
    <t>Y5</t>
  </si>
  <si>
    <t>W</t>
  </si>
  <si>
    <t>D_sub1</t>
  </si>
  <si>
    <t>D_sub2</t>
  </si>
  <si>
    <t>D_sub3</t>
  </si>
  <si>
    <t>D_sub4</t>
  </si>
  <si>
    <t>변수명(분석자료·CSV)</t>
  </si>
  <si>
    <t>코딩자료 열 이름</t>
  </si>
  <si>
    <t>블록</t>
  </si>
  <si>
    <t>문항 전문(부록1)</t>
  </si>
  <si>
    <t>코딩 규칙</t>
  </si>
  <si>
    <t>하위요인</t>
  </si>
  <si>
    <t>분석 역할(&lt;표 4-3&gt;)</t>
  </si>
  <si>
    <t>비고</t>
  </si>
  <si>
    <t>관리 변수</t>
  </si>
  <si>
    <t>식별자</t>
  </si>
  <si>
    <t>응답 1건 식별자(원본 행 순서 R001∼R073)</t>
  </si>
  <si>
    <t>1=CCTV YOLO-LLM 안전알림 도입 현장, 0=CCTV YOLO-LLM 안전알림 미도입 현장</t>
  </si>
  <si>
    <t>독립변수(D)</t>
  </si>
  <si>
    <t>&lt;표 4-3&gt; 독립변수. 자기보고 분기값(명부 대조 전)</t>
  </si>
  <si>
    <t>Part A 일반 사항·현장 운영 특성</t>
  </si>
  <si>
    <t>귀하의 소속 구분은?</t>
  </si>
  <si>
    <t>1=시공사, 2=발주청(공사감독·감리원 포함)</t>
  </si>
  <si>
    <t>조정변수: 범주형 통제요인</t>
  </si>
  <si>
    <t>기준범주=시공사(04장 제5절 제2항)</t>
  </si>
  <si>
    <t>귀하의 성별은?</t>
  </si>
  <si>
    <t>1=남성, 2=여성</t>
  </si>
  <si>
    <t>기준범주=남성</t>
  </si>
  <si>
    <t>응답일 현재 귀하의 만 나이는?</t>
  </si>
  <si>
    <t>숫자 그대로(연속)</t>
  </si>
  <si>
    <t>조정변수: 연속 공변량</t>
  </si>
  <si>
    <t>연속값 그대로 투입</t>
  </si>
  <si>
    <t>귀하의 건설현장 근무 경력은 약 몇 년입니까? (응답일까지 안전관리·공사감독·시공관리 등 현장 업무에 종사한 전체 기간)</t>
  </si>
  <si>
    <t>현장에서 귀하가 맡고 있는 역할은?</t>
  </si>
  <si>
    <t>1=공사감독, 2=안전관리자, 3=현장소장, 4=기타 (그 외 텍스트=4, '.'은 무응답→결측)</t>
  </si>
  <si>
    <t>기준범주=공사감독, 4수준</t>
  </si>
  <si>
    <t>A5 기타(  ) 원문</t>
  </si>
  <si>
    <t>원문 텍스트(strip)</t>
  </si>
  <si>
    <t>참고(기타 원문)</t>
  </si>
  <si>
    <t>A5=4일 때 원문</t>
  </si>
  <si>
    <t>현재 담당 현장의 총공사비 구간은?</t>
  </si>
  <si>
    <t>1=20억 원 미만, 2=20억 원 이상∼50억 원 미만, 3=50억 원 이상∼120억 원 미만, 4=120억 원 이상</t>
  </si>
  <si>
    <t>기준범주=20억 원 미만. 조사용 4구간(등간 아님)</t>
  </si>
  <si>
    <t>안전관리 담당자가 현장에 없을 때(이동·사무실 업무·야간 등) 위험 상황을 알게 되는 주된 경로는 무엇입니까?</t>
  </si>
  <si>
    <t>1=알게 될 방법이 없다, 2=작업자나 반장의 전화·보고, 3=사무실 등에서 CCTV 화면을 직접 본다, 4=자동 알림(문자·메신저·앱)을 받는다, 5=기타 (그 외 텍스트=5)</t>
  </si>
  <si>
    <t>참고 변수: 현장 운영 특성</t>
  </si>
  <si>
    <t>운용 실태 확인 지표(가설 검정 미투입)</t>
  </si>
  <si>
    <t>A7 기타(  ) 원문</t>
  </si>
  <si>
    <t>A7=5일 때 원문</t>
  </si>
  <si>
    <t>비점검 시간에 생긴 위험 상황은 보통 언제 알게 됩니까?</t>
  </si>
  <si>
    <t>1=다음 순찰 때, 2=누군가 알려줄 때, 3=발생 직후 알림으로, 4=모르고 지나가는 경우가 많다</t>
  </si>
  <si>
    <t>위험 상황을 알고 난 뒤 현장에 조치 지시가 전달되기까지 보통 얼마나 걸립니까?</t>
  </si>
  <si>
    <t>1=즉시∼5분, 2=5분 초과∼30분, 3=30분 초과∼1시간, 4=1시간 초과 또는 다음 순찰 때</t>
  </si>
  <si>
    <t>과정 지표 — &lt;표 4-6&gt; 조합 판정에 사용</t>
  </si>
  <si>
    <t>Part B 안전관리 실효성</t>
  </si>
  <si>
    <t>우리 현장에서는 위험 상황을 조기에 인지한다.</t>
  </si>
  <si>
    <t>① 전혀 그렇지 않다=1 … ⑤ 매우 그렇다=5 (동그라미 숫자로 판정, 그 외=결측)</t>
  </si>
  <si>
    <t>Y1 조기인지</t>
  </si>
  <si>
    <t>종속변수(Y) 구성 문항</t>
  </si>
  <si>
    <t>우리 현장에서는 위험 상황을 인지하면 초동 대응을 빠르게 지시한다.</t>
  </si>
  <si>
    <t>Y2 대응 신속성</t>
  </si>
  <si>
    <t>우리 현장에서는 안전관리 담당자가 현장 밖에서도 위험 상황을 신속하게 파악한다.</t>
  </si>
  <si>
    <t>Y3 원격 파악</t>
  </si>
  <si>
    <t>우리 현장에서는 멀리 떨어진 곳에서도 위험 정보와 조치 필요사항을 원활하게 공유한다.</t>
  </si>
  <si>
    <t>우리 현장에서는 제한된 인력으로도 현장 순찰과 위험 확인 업무를 효율적으로 수행한다.</t>
  </si>
  <si>
    <t>Y4 순찰부담 경감</t>
  </si>
  <si>
    <t>우리 현장에서는 불필요한 확인 업무에 쫓기지 않고 실제 위험 대응에 집중한다.</t>
  </si>
  <si>
    <t>우리 현장에서는 필요한 경우 시정·작업중지 등 통제 조치를 신속하게 시행한다.</t>
  </si>
  <si>
    <t>Y5 위험 통제력</t>
  </si>
  <si>
    <t>우리 현장에서는 사고로 이어질 수 있는 위험요인을 실질적으로 통제한다.</t>
  </si>
  <si>
    <t>Part C 예산 제약성</t>
  </si>
  <si>
    <t>우리 현장은 고가의 스마트 안전장비를 도입하기에는 예산이 부족하다.</t>
  </si>
  <si>
    <t>상호작용 변수(W) 구성 문항</t>
  </si>
  <si>
    <t>우리 현장은 스마트 안전장비나 관제 시스템 도입에 쓸 안전관리 예산이 부족하게 편성되어 있다.</t>
  </si>
  <si>
    <t>우리 현장은 산업안전보건관리비 계상 기준만으로는 스마트 안전장비나 관제 시스템을 도입하기 어렵다.</t>
  </si>
  <si>
    <t>우리 현장은 소속 기관인 본사나 발주청으로부터 스마트 안전장비나 관제 시스템 도입 예산을 별도로 지원받기 어렵다.</t>
  </si>
  <si>
    <t>Part D 시스템 특성(도입 전용)</t>
  </si>
  <si>
    <t>본 시스템은 일반 사무용 PC로 구동되어 고가 AI 서버 등 별도 장비에 대한 투자 부담이 적다.</t>
  </si>
  <si>
    <t>D_sub1 인프라 범용성</t>
  </si>
  <si>
    <t>참고 변수: 시스템 특성 인식(도입 집단)</t>
  </si>
  <si>
    <t>가설 검정 미투입, 미도입 빈칸</t>
  </si>
  <si>
    <t>본 시스템은 제조사가 다른 기존 현장 카메라와도 호환되어 카메라를 교체하지 않고 도입할 수 있다.</t>
  </si>
  <si>
    <t>본 시스템은 짧은 시간에 알림이 몰려도 느려지거나 멈추지 않고 안정적으로 작동한다.</t>
  </si>
  <si>
    <t>D_sub2 탐지·제어 안정성</t>
  </si>
  <si>
    <t>본 시스템은 통신 상태가 좋지 않은 현장에서도 위험 여부를 가려내는 기능이 안정적으로 작동한다.</t>
  </si>
  <si>
    <t>본 시스템은 현장의 나무나 그림자 같은 배경을 사람이나 위험 요소로 잘못 알리는 일이 드물다.</t>
  </si>
  <si>
    <t>D_sub3 오탐 필터링</t>
  </si>
  <si>
    <t>본 시스템은 정상 작업을 위험으로 잘못 알리는 일이 드물다.</t>
  </si>
  <si>
    <t>위험 상황이 발생하면 위험 요약과 이미지가 모바일 메신저로 신속하게 전달된다.</t>
  </si>
  <si>
    <t>D_sub4 알림 전파 즉각성</t>
  </si>
  <si>
    <t>모바일 메신저로 받은 알림만으로도 현장 상황을 쉽게 파악할 수 있다.</t>
  </si>
  <si>
    <t>Part E 경보 피로도(도입 전용)</t>
  </si>
  <si>
    <t>본 시스템이 위험이 아닌 상황을 걸러 주어 잦은 알림 확인에 따른 스트레스가 줄었다.</t>
  </si>
  <si>
    <t>참고 변수: 경보 피로도 완화 인식(도입 집단)</t>
  </si>
  <si>
    <t>불필요한 알림을 확인하는 시간이 줄어 핵심 업무에 더 집중하게 되었다.</t>
  </si>
  <si>
    <t>알림이 오면 ‘또 잘못 온 알림’으로 여겨 무시하기보다 바로 확인하는 경우가 늘었다.</t>
  </si>
  <si>
    <t>본 시스템 도입 이후 알림으로 인한 피로감이 줄었다.</t>
  </si>
  <si>
    <t>파생 변수</t>
  </si>
  <si>
    <t>안전관리 실효성 전체 (B-1·B-2·B-3·B-4·B-5·B-6·B-7·B-8)</t>
  </si>
  <si>
    <t>mean(B1, B2, B3, B4, B5, B6, B7, B8) — 8문항 전부 응답 시에만 산출, 아니면 빈칸</t>
  </si>
  <si>
    <t>안전관리 실효성 전체</t>
  </si>
  <si>
    <t>종속변수(Y) — H1·H2</t>
  </si>
  <si>
    <t>영역 가중 12.5·12.5·25·25·25%</t>
  </si>
  <si>
    <t>조기인지 (B-1)</t>
  </si>
  <si>
    <t>mean(B1) — 1문항 전부 응답 시에만 산출, 아니면 빈칸</t>
  </si>
  <si>
    <t>조기인지</t>
  </si>
  <si>
    <t>종속변수 하위요인 — 영역별 분석(&lt;표 5-7&gt;, Holm)</t>
  </si>
  <si>
    <t>대응 신속성 (B-2)</t>
  </si>
  <si>
    <t>mean(B2) — 1문항 전부 응답 시에만 산출, 아니면 빈칸</t>
  </si>
  <si>
    <t>대응 신속성</t>
  </si>
  <si>
    <t>원격 파악 (B-3·B-4)</t>
  </si>
  <si>
    <t>mean(B3, B4) — 2문항 전부 응답 시에만 산출, 아니면 빈칸</t>
  </si>
  <si>
    <t>원격 파악</t>
  </si>
  <si>
    <t>순찰부담 경감 (B-5·B-6)</t>
  </si>
  <si>
    <t>mean(B5, B6) — 2문항 전부 응답 시에만 산출, 아니면 빈칸</t>
  </si>
  <si>
    <t>순찰부담 경감</t>
  </si>
  <si>
    <t>위험 통제력 (B-7·B-8)</t>
  </si>
  <si>
    <t>mean(B7, B8) — 2문항 전부 응답 시에만 산출, 아니면 빈칸</t>
  </si>
  <si>
    <t>위험 통제력</t>
  </si>
  <si>
    <t>안전관리 예산 제약성 (C-1·C-2·C-3·C-4)</t>
  </si>
  <si>
    <t>mean(C1, C2, C3, C4) — 4문항 전부 응답 시에만 산출, 아니면 빈칸</t>
  </si>
  <si>
    <t>안전관리 예산 제약성</t>
  </si>
  <si>
    <t>상호작용 변수(W) — H2</t>
  </si>
  <si>
    <t>분석 시 완전사례 평균으로 중심화(Task B)</t>
  </si>
  <si>
    <t>인프라 범용성 (D-1·D-2)</t>
  </si>
  <si>
    <t>mean(D1, D2) — 2문항 전부 응답 시에만 산출, 아니면 빈칸; 도입 집단만(미도입 빈칸)</t>
  </si>
  <si>
    <t>인프라 범용성</t>
  </si>
  <si>
    <t>참고 변수(도입 집단 기술통계)</t>
  </si>
  <si>
    <t>가설 검정 미투입</t>
  </si>
  <si>
    <t>탐지·제어 안정성 (D-3·D-4)</t>
  </si>
  <si>
    <t>mean(D3, D4) — 2문항 전부 응답 시에만 산출, 아니면 빈칸; 도입 집단만(미도입 빈칸)</t>
  </si>
  <si>
    <t>탐지·제어 안정성</t>
  </si>
  <si>
    <t>오탐 필터링 (D-5·D-6)</t>
  </si>
  <si>
    <t>mean(D5, D6) — 2문항 전부 응답 시에만 산출, 아니면 빈칸; 도입 집단만(미도입 빈칸)</t>
  </si>
  <si>
    <t>오탐 필터링</t>
  </si>
  <si>
    <t>알림 전파 즉각성 (D-7·D-8)</t>
  </si>
  <si>
    <t>mean(D7, D8) — 2문항 전부 응답 시에만 산출, 아니면 빈칸; 도입 집단만(미도입 빈칸)</t>
  </si>
  <si>
    <t>알림 전파 즉각성</t>
  </si>
  <si>
    <t>시스템 특성 인식 전체 (D-1·D-2·D-3·D-4·D-5·D-6·D-7·D-8)</t>
  </si>
  <si>
    <t>mean(D1, D2, D3, D4, D5, D6, D7, D8) — 8문항 전부 응답 시에만 산출, 아니면 빈칸; 도입 집단만(미도입 빈칸)</t>
  </si>
  <si>
    <t>시스템 특성 인식 전체</t>
  </si>
  <si>
    <t>경보 피로도 완화 인식 (E-1·E-2·E-3·E-4)</t>
  </si>
  <si>
    <t>mean(E1, E2, E3, E4) — 4문항 전부 응답 시에만 산출, 아니면 빈칸; 도입 집단만(미도입 빈칸)</t>
  </si>
  <si>
    <t>경보 피로도 완화 인식</t>
  </si>
  <si>
    <t>시스템 경로 작동(부록1·05장 &lt;표 5-1&gt; 주 규칙)</t>
  </si>
  <si>
    <t>도입 집단: A7∈{3,4} 그리고 A8=3 → 1, 그 외 0; 미도입 빈칸. A7=5(기타)는 0 [확정 필요]</t>
  </si>
  <si>
    <t>민감도 분석용(&lt;표 5-6&gt; sys_path=0 제외 재추정)</t>
  </si>
  <si>
    <t>[확정 필요: A-7 ⑤ 판정 기준]</t>
  </si>
  <si>
    <t>분석 포함 여부</t>
  </si>
  <si>
    <t>1=분석 포함, 0=제외(시험 응답 2건)</t>
  </si>
  <si>
    <t>표본 선택(jamovi에서 include=1 필터)</t>
  </si>
  <si>
    <t>제외 사유</t>
  </si>
  <si>
    <t>include=0의 사유</t>
  </si>
  <si>
    <t>빈도·기술통계 — 코딩자료 참조 수식, include=1만 집계 (집단: 명부 대조 전 자기보고 분기값)</t>
  </si>
  <si>
    <t>D함수 조건 범위(수정 금지)</t>
  </si>
  <si>
    <t>표 5-1 패널 A — 범주형 특성의 빈도와 비율</t>
  </si>
  <si>
    <t>도입</t>
  </si>
  <si>
    <t>비율 분모 = 항목별 유효 응답. 각 변수 아래 회색 행: 유효 응답 n과 결측 수.</t>
  </si>
  <si>
    <t>구분</t>
  </si>
  <si>
    <t>항목</t>
  </si>
  <si>
    <t>도입 n</t>
  </si>
  <si>
    <t>도입 %</t>
  </si>
  <si>
    <t>미도입 n</t>
  </si>
  <si>
    <t>미도입 %</t>
  </si>
  <si>
    <t>전체 n</t>
  </si>
  <si>
    <t>전체 %</t>
  </si>
  <si>
    <t>소속 구분</t>
  </si>
  <si>
    <t>미도입</t>
  </si>
  <si>
    <t>유효 응답(분모)</t>
  </si>
  <si>
    <t>성별</t>
  </si>
  <si>
    <t>전체</t>
  </si>
  <si>
    <t>역할</t>
  </si>
  <si>
    <t>기타</t>
  </si>
  <si>
    <t>총공사비 구간</t>
  </si>
  <si>
    <t>합계(include=1)</t>
  </si>
  <si>
    <t>표 5-1 패널 B — 만 나이·건설현장 경력</t>
  </si>
  <si>
    <t>중위값은 수식 제약(MEDIAN 조건부 배열식 미사용)으로 이 시트에서 산출하지 않는다 — Task B 분석 결과 참조.</t>
  </si>
  <si>
    <t>변수</t>
  </si>
  <si>
    <t>n</t>
  </si>
  <si>
    <t>평균(M)</t>
  </si>
  <si>
    <t>표준편차(SD)</t>
  </si>
  <si>
    <t>최솟값</t>
  </si>
  <si>
    <t>최댓값</t>
  </si>
  <si>
    <t>만 나이(세)</t>
  </si>
  <si>
    <t>건설현장 경력(년)</t>
  </si>
  <si>
    <t>표 5-1 패널 C — 현장 운영 특성(A-7∼A-9)</t>
  </si>
  <si>
    <t>Fisher 정확검정 p는 Task B 분석에서 산출.</t>
  </si>
  <si>
    <t>A-7 담당자 부재 시 위험 인지 경로</t>
  </si>
  <si>
    <t>① 알게 될 방법이 없다</t>
  </si>
  <si>
    <t>② 작업자나 반장의 전화·보고</t>
  </si>
  <si>
    <t>③ 사무실 등에서 CCTV 화면을 직접 본다</t>
  </si>
  <si>
    <t>④ 자동 알림(문자·메신저·앱)을 받는다</t>
  </si>
  <si>
    <t>⑤ 기타</t>
  </si>
  <si>
    <t>A-8 순찰 간 위험 인지 시점</t>
  </si>
  <si>
    <t>① 다음 순찰 때</t>
  </si>
  <si>
    <t>② 누군가 알려줄 때</t>
  </si>
  <si>
    <t>③ 발생 직후 알림으로</t>
  </si>
  <si>
    <t>④ 모르고 지나가는 경우가 많다</t>
  </si>
  <si>
    <t>A-9 인지 후 지시 전달 소요시간</t>
  </si>
  <si>
    <t>① 즉시∼5분</t>
  </si>
  <si>
    <t>② 5분 초과∼30분</t>
  </si>
  <si>
    <t>③ 30분 초과∼1시간</t>
  </si>
  <si>
    <t>④ 1시간 초과 또는 다음 순찰 때</t>
  </si>
  <si>
    <t>도입 집단 시스템 경로 작동(sys_path) 집계</t>
  </si>
  <si>
    <t>sys_path=1: A-7이 ③·④이고 A-8이 ③. A-7 ⑤(기타)는 0으로 집계 [확정 필요].</t>
  </si>
  <si>
    <t>시스템 경로</t>
  </si>
  <si>
    <t>sys_path=1 (경로 작동)</t>
  </si>
  <si>
    <t>sys_path=0 (경로 미작동)</t>
  </si>
  <si>
    <t>그중 A-7 ⑤ 기타</t>
  </si>
  <si>
    <t>표 5-3 패널 A — 주요 변수의 기술통계(집단별)</t>
  </si>
  <si>
    <t>왜도·첨도는 Task B 분석 결과 참조. n은 해당 척도 전 문항 응답자 수.</t>
  </si>
  <si>
    <t>표 5-3 패널 A(계속) — 도입 집단 참고 척도</t>
  </si>
  <si>
    <t>표 5-3 패널 B — D·E 문항별 응답 상태와 기술통계(도입 집단)</t>
  </si>
  <si>
    <t>일반 무응답 = 도입 집단 include=1 인원 − 유효 응답 수. 경험 부재 비해당 선택지는 설문에 없음(—).</t>
  </si>
  <si>
    <t>문항</t>
  </si>
  <si>
    <t>유효 응답 수</t>
  </si>
  <si>
    <t>일반 무응답 수</t>
  </si>
  <si>
    <t>부가 — B·C 문항별 기술통계(집단별)</t>
  </si>
  <si>
    <t>번호</t>
  </si>
  <si>
    <t>원본 행</t>
  </si>
  <si>
    <t>내용</t>
  </si>
  <si>
    <t>처리</t>
  </si>
  <si>
    <t>상태</t>
  </si>
  <si>
    <t>자료 특성(0.5)</t>
  </si>
  <si>
    <t>—</t>
  </si>
  <si>
    <t>성별: 도입 집단 32명 전원 남성(여성 0), 여성은 미도입에만 6명.</t>
  </si>
  <si>
    <t>성별 더미는 미도입 내부에서만 식별됨 → 집단과 성별이 부분 교락. Task B에서 계수 해석 시 유의.</t>
  </si>
  <si>
    <t>기록</t>
  </si>
  <si>
    <t>소속×역할 교차(include=1): 미도입·시공사: 공사감독 3, 안전관리자 12, 현장소장 12 / 미도입·발주청: 공사감독 9, 기타 2 / 도입·시공사: 안전관리자 6, 현장소장 10, 기타 1 / 도입·발주청: 공사감독 12, 안전관리자 1, 기타 2. 발주청 응답자는 대부분 공사감독.</t>
  </si>
  <si>
    <t>소속–역할 중복으로 설계행렬 순위 결함 가능 → Task B에서 rank(X) 확인 필수.</t>
  </si>
  <si>
    <t>자료 특성(추가)</t>
  </si>
  <si>
    <t>R043, R046, R066</t>
  </si>
  <si>
    <t>44, 47, 67</t>
  </si>
  <si>
    <t>소속=시공사인데 역할=공사감독 3건(보기상 공사감독은 발주청 역할에 가까움).</t>
  </si>
  <si>
    <t>응답 그대로 유지. 소속 또는 역할 오기 가능성 — 명부 대조 시 확인.</t>
  </si>
  <si>
    <t>확인 필요</t>
  </si>
  <si>
    <t>71</t>
  </si>
  <si>
    <t>소속=발주청인데 역할=안전관리자 1건.</t>
  </si>
  <si>
    <t>응답 그대로 유지(참고).</t>
  </si>
  <si>
    <t>R001, R002, R003, R004, R005</t>
  </si>
  <si>
    <t>2, 3, 4, 5, 6</t>
  </si>
  <si>
    <t>현장명·성명은 5건에만 입력(시험 응답 2건 포함). 나머지 68건은 둘 다 빈칸.</t>
  </si>
  <si>
    <t>중복 제출은 타임스탬프·응답 벡터 동일성으로만 확인 가능(아래 항목). 분석자료·CSV에서는 성명·현장명 제거.</t>
  </si>
  <si>
    <t>집단 구분은 첫 질문의 자기보고 분기값이며 조사 명부와의 대조는 아직 하지 않았다.</t>
  </si>
  <si>
    <t>group은 '명부 대조 전 자기보고 기준'. 명부 확보 후 불일치 건을 재검토(자기보고만으로 재분류하지 않음).</t>
  </si>
  <si>
    <t>중복 의심</t>
  </si>
  <si>
    <t>전 문항(A·B·C·D·E 코딩값) 응답 벡터가 완전히 같은 쌍: 0건.</t>
  </si>
  <si>
    <t>중복 제출 근거 없음.</t>
  </si>
  <si>
    <t>중복 의심(근접 제출)</t>
  </si>
  <si>
    <t>R013–R014; R018–R019; R020–R021; R030–R031</t>
  </si>
  <si>
    <t>직전 응답과 2분 이내 제출 24쌍. 20초 이내: R013–R014 13초 차, 코딩값 28개 다름; R018–R019 2초 차, 코딩값 29개 다름; R020–R021 18초 차, 코딩값 24개 다름; R030–R031 9초 차, 코딩값 23개 다름. 2분 이내 쌍의 서로 다른 변수 수 최소 13개.</t>
  </si>
  <si>
    <t>근접 제출이지만 응답 벡터가 다르므로 중복으로 보지 않음(현장 단체 안내 시 동시 응답으로 해석). 계획서의 행 14·15 = R013–R014.</t>
  </si>
  <si>
    <t>제외(include=0)</t>
  </si>
  <si>
    <t>2026-10-14 10:31:32, 현장명 '테스트', 도입 분기, 리커트 전 문항 값 [3].</t>
  </si>
  <si>
    <t>include=0, exclude_reason='시험 응답(현장명 '테스트')'. → 유효 표본에서 제외.</t>
  </si>
  <si>
    <t>사용자 확인 필요(계획 결정 1)</t>
  </si>
  <si>
    <t>2026-10-14 10:32:38, 현장명 '없음', 도입 분기, 리커트 전 문항 값 [5].</t>
  </si>
  <si>
    <t>include=0, exclude_reason='연구자 본인 시험 응답(현장명 '없음')'. → 유효 표본에서 제외.</t>
  </si>
  <si>
    <t>결측(무응답 표기)</t>
  </si>
  <si>
    <t>A5='.' — 역할 보기 외 '.' 한 글자.</t>
  </si>
  <si>
    <t>A5_role 결측. H1 완전사례에서 탈락. (계획 결정 2: 결측 vs 기타)</t>
  </si>
  <si>
    <t>사용자 확인 필요(계획 결정 2)</t>
  </si>
  <si>
    <t>기타 응답(A-5)</t>
  </si>
  <si>
    <t>R037, R039, R055, R072, R073</t>
  </si>
  <si>
    <t>38, 40, 56, 73, 74</t>
  </si>
  <si>
    <t>A-5 기타 원문: R037=사업관리(부장); R039=기술사사무소; R055=사업관리(안전포함); R072=공무; R073=설계자</t>
  </si>
  <si>
    <t>A5_role=4, 원문은 A5_기타텍스트 보존.</t>
  </si>
  <si>
    <t>기타 응답(A-7)</t>
  </si>
  <si>
    <t>R020, R024, R033, R038, R048</t>
  </si>
  <si>
    <t>21, 25, 34, 39, 49</t>
  </si>
  <si>
    <t>A-7 기타 원문: R020(미도입)=현장상주; R024(도입)=수시로 현장을 답사하여 확인한다; R033(도입)=현장상주 미상주시 대체직원 상주; R038(미도입)=현장상주 직접확인; R048(미도입)=상주 근무자의 비상연락망 가동</t>
  </si>
  <si>
    <t>A7_path=5. 도입 집단 해당 건은 sys_path=0으로 두었으며 판정 기준 [확정 필요].</t>
  </si>
  <si>
    <t>운용 실태(sys_path)</t>
  </si>
  <si>
    <t>R010, R017, R034, R037, R071</t>
  </si>
  <si>
    <t>11, 18, 35, 38, 72</t>
  </si>
  <si>
    <t>도입 32명 중 sys_path=1은 5명, 0은 27명. A-7 분포(도입): 작업자나 반장의 전화·보고 13, 사무실 등에서 CCTV 화면을 직접 본다 9, 자동 알림(문자·메신저·앱)을 받는다 8, 기타 2. sys_path=1의 구성: A-7=③·A-8=③ 0건, A-7=④·A-8=③ 5건.</t>
  </si>
  <si>
    <t>sys_path=0 제외 민감도 분석의 부분집단이 매우 작다(도입 n=5) → Task B 민감도 분석의 추정 안정성 주의.</t>
  </si>
  <si>
    <t>운용 실태(미도입)</t>
  </si>
  <si>
    <t>R025, R041</t>
  </si>
  <si>
    <t>26, 42</t>
  </si>
  <si>
    <t>미도입 응답인데 A-8=③(발생 직후 알림으로) 또는 A-7=④(자동 알림): R025 A7=3, A8=3; R041 A7=2, A8=3</t>
  </si>
  <si>
    <t>다른 알림 수단 사용 가능성 또는 분기 오선택 가능성 — 명부 대조 대상. 응답 그대로 유지.</t>
  </si>
  <si>
    <t>일렬응답</t>
  </si>
  <si>
    <t>미도입 응답자의 리커트 전 문항(12개)이 모두 4.</t>
  </si>
  <si>
    <t>원고 규칙(05장 제1절: 일렬응답만으로 자동 제외하지 않음)에 따라 포함 유지. 민감도 점검 후보.</t>
  </si>
  <si>
    <t>희소 범주(n&lt;5)</t>
  </si>
  <si>
    <t>집단별 n&lt;5 범주: 도입 20억 원 미만 2; 도입 기타 3; 미도입 기타 2; 도입 여성 0.</t>
  </si>
  <si>
    <t>&lt;표 5-4&gt; 균형 진단에서 희소범주 표시. 더미 계수 불안정 가능.</t>
  </si>
  <si>
    <t>검증</t>
  </si>
  <si>
    <t>교차 채움 위반 0건(도입 행 38∼58열, 미도입 행 5∼37열 모두 빈칸).</t>
  </si>
  <si>
    <t>이상 없음</t>
  </si>
  <si>
    <t>리커트 매핑 실패 0건, 범주 매핑 실패(기타 제외) 0건, 숫자 변환 실패 0건.</t>
  </si>
  <si>
    <t>결측 현황</t>
  </si>
  <si>
    <t>include=1 기준 문항 결측: A5_role 1건 (D·E는 도입 집단 기준, 미도입 D·E 빈칸은 설계상 비해당).</t>
  </si>
  <si>
    <t>Y_total·W 완전사례 = 유효 표본 전원.</t>
  </si>
  <si>
    <t>원본 머리글 문항 문구 ↔ 부록1 문항 전문 대조: 33문항 중 불일치 0건.</t>
  </si>
  <si>
    <t>코드북 문항 전문은 부록1에서 읽음.</t>
  </si>
  <si>
    <t>제출 기간: 전체 2026-10-14 10:31∼2026-10-23 11:40, 유효 응답 2026-10-14 11:34∼2026-10-23 11:40. 유효 표본 71명(도입 32, 미도입 39) — 04장 모집 목표 60명과 다름.</t>
  </si>
  <si>
    <t>Google Forms 제출시각은 응답 소요시간으로 쓰지 않음(05장 제1절). 표본 수 서술 정합은 Task C에서.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</si>
</sst>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\ hh:mm:ss"/>
    <numFmt numFmtId="178" formatCode="0.000"/>
    <numFmt numFmtId="179" formatCode="0.0%"/>
    <numFmt numFmtId="180" formatCode="&quot;결측 &quot;0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/>
    <xf numFmtId="177" fontId="2" fillId="0" borderId="1" xfId="0" applyNumberFormat="1" applyFont="1" applyBorder="1"/>
    <xf numFmtId="178" fontId="3" fillId="0" borderId="1" xfId="0" applyNumberFormat="1" applyFont="1" applyBorder="1"/>
    <xf numFmtId="1" fontId="3" fillId="0" borderId="1" xfId="0" applyNumberFormat="1" applyFont="1" applyBorder="1"/>
    <xf numFmtId="178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1" fillId="3" borderId="1" xfId="0" applyFont="1" applyFill="1" applyBorder="1"/>
    <xf numFmtId="0" fontId="6" fillId="0" borderId="0" xfId="0" applyFont="1"/>
    <xf numFmtId="0" fontId="2" fillId="3" borderId="1" xfId="0" applyFont="1" applyFill="1" applyBorder="1"/>
    <xf numFmtId="0" fontId="3" fillId="0" borderId="1" xfId="0" applyFont="1" applyBorder="1" applyAlignment="1">
      <alignment vertical="center" wrapText="1"/>
    </xf>
    <xf numFmtId="179" fontId="3" fillId="0" borderId="1" xfId="0" applyNumberFormat="1" applyFont="1" applyBorder="1"/>
    <xf numFmtId="0" fontId="3" fillId="4" borderId="1" xfId="0" applyFont="1" applyFill="1" applyBorder="1" applyAlignment="1">
      <alignment vertical="center" wrapText="1"/>
    </xf>
    <xf numFmtId="1" fontId="3" fillId="4" borderId="1" xfId="0" applyNumberFormat="1" applyFont="1" applyFill="1" applyBorder="1"/>
    <xf numFmtId="180" fontId="3" fillId="4" borderId="1" xfId="0" applyNumberFormat="1" applyFont="1" applyFill="1" applyBorder="1"/>
    <xf numFmtId="0" fontId="1" fillId="0" borderId="1" xfId="0" applyFont="1" applyBorder="1" applyAlignment="1">
      <alignment vertical="center" wrapText="1"/>
    </xf>
    <xf numFmtId="2" fontId="3" fillId="0" borderId="1" xfId="0" applyNumberFormat="1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/>
  </sheetViews>
  <sheetFormatPr defaultRowHeight="17" x14ac:dyDescent="0.45"/>
  <cols>
    <col min="1" max="1" width="18" customWidth="1"/>
    <col min="2" max="2" width="120" customWidth="1"/>
  </cols>
  <sheetData>
    <row r="1" spans="1:2" ht="17.5" x14ac:dyDescent="0.45">
      <c r="A1" s="1" t="s">
        <v>0</v>
      </c>
    </row>
    <row r="3" spans="1:2" x14ac:dyDescent="0.45">
      <c r="A3" s="2" t="s">
        <v>1</v>
      </c>
      <c r="B3" s="3" t="s">
        <v>2</v>
      </c>
    </row>
    <row r="4" spans="1:2" x14ac:dyDescent="0.45">
      <c r="A4" s="2" t="s">
        <v>3</v>
      </c>
      <c r="B4" s="3" t="s">
        <v>4</v>
      </c>
    </row>
    <row r="5" spans="1:2" x14ac:dyDescent="0.45">
      <c r="A5" s="2" t="s">
        <v>5</v>
      </c>
      <c r="B5" s="3" t="s">
        <v>6</v>
      </c>
    </row>
    <row r="6" spans="1:2" x14ac:dyDescent="0.45">
      <c r="A6" s="2" t="s">
        <v>7</v>
      </c>
      <c r="B6" s="3" t="s">
        <v>8</v>
      </c>
    </row>
    <row r="7" spans="1:2" x14ac:dyDescent="0.45">
      <c r="A7" s="2" t="s">
        <v>9</v>
      </c>
      <c r="B7" s="3" t="s">
        <v>10</v>
      </c>
    </row>
    <row r="8" spans="1:2" ht="32" x14ac:dyDescent="0.45">
      <c r="A8" s="2" t="s">
        <v>11</v>
      </c>
      <c r="B8" s="3" t="s">
        <v>12</v>
      </c>
    </row>
    <row r="9" spans="1:2" x14ac:dyDescent="0.45">
      <c r="A9" s="2" t="s">
        <v>13</v>
      </c>
      <c r="B9" s="3" t="s">
        <v>14</v>
      </c>
    </row>
    <row r="10" spans="1:2" x14ac:dyDescent="0.45">
      <c r="A10" s="2" t="s">
        <v>15</v>
      </c>
      <c r="B10" s="3" t="s">
        <v>16</v>
      </c>
    </row>
    <row r="11" spans="1:2" x14ac:dyDescent="0.45">
      <c r="A11" s="2" t="s">
        <v>17</v>
      </c>
      <c r="B11" s="3" t="s">
        <v>18</v>
      </c>
    </row>
    <row r="12" spans="1:2" x14ac:dyDescent="0.45">
      <c r="A12" s="2" t="s">
        <v>19</v>
      </c>
      <c r="B12" s="3" t="s">
        <v>20</v>
      </c>
    </row>
    <row r="13" spans="1:2" x14ac:dyDescent="0.45">
      <c r="A13" s="2" t="s">
        <v>21</v>
      </c>
      <c r="B13" s="3" t="s">
        <v>22</v>
      </c>
    </row>
    <row r="14" spans="1:2" ht="32" x14ac:dyDescent="0.45">
      <c r="A14" s="2" t="s">
        <v>23</v>
      </c>
      <c r="B14" s="3" t="s">
        <v>24</v>
      </c>
    </row>
    <row r="15" spans="1:2" x14ac:dyDescent="0.45">
      <c r="A15" s="2" t="s">
        <v>25</v>
      </c>
      <c r="B15" s="3" t="s">
        <v>26</v>
      </c>
    </row>
    <row r="17" spans="1:2" x14ac:dyDescent="0.45">
      <c r="A17" s="4" t="s">
        <v>27</v>
      </c>
      <c r="B17" s="4" t="s">
        <v>28</v>
      </c>
    </row>
    <row r="18" spans="1:2" x14ac:dyDescent="0.45">
      <c r="A18" s="5" t="s">
        <v>29</v>
      </c>
      <c r="B18" s="3" t="s">
        <v>30</v>
      </c>
    </row>
    <row r="19" spans="1:2" x14ac:dyDescent="0.45">
      <c r="A19" s="5" t="s">
        <v>31</v>
      </c>
      <c r="B19" s="3" t="s">
        <v>32</v>
      </c>
    </row>
    <row r="20" spans="1:2" x14ac:dyDescent="0.45">
      <c r="A20" s="5" t="s">
        <v>33</v>
      </c>
      <c r="B20" s="3" t="s">
        <v>34</v>
      </c>
    </row>
    <row r="21" spans="1:2" x14ac:dyDescent="0.45">
      <c r="A21" s="5" t="s">
        <v>35</v>
      </c>
      <c r="B21" s="3" t="s">
        <v>36</v>
      </c>
    </row>
    <row r="22" spans="1:2" x14ac:dyDescent="0.45">
      <c r="A22" s="5" t="s">
        <v>37</v>
      </c>
      <c r="B22" s="3" t="s">
        <v>38</v>
      </c>
    </row>
    <row r="23" spans="1:2" x14ac:dyDescent="0.45">
      <c r="A23" s="5" t="s">
        <v>39</v>
      </c>
      <c r="B23" s="3" t="s">
        <v>40</v>
      </c>
    </row>
    <row r="24" spans="1:2" x14ac:dyDescent="0.45">
      <c r="A24" s="5" t="s">
        <v>25</v>
      </c>
      <c r="B24" s="3" t="s">
        <v>41</v>
      </c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7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9.33203125" customWidth="1"/>
    <col min="2" max="2" width="7.6640625" customWidth="1"/>
    <col min="3" max="3" width="21" customWidth="1"/>
    <col min="4" max="4" width="30" customWidth="1"/>
    <col min="5" max="5" width="7.25" customWidth="1"/>
    <col min="6" max="6" width="30" customWidth="1"/>
    <col min="7" max="7" width="7.6640625" customWidth="1"/>
    <col min="8" max="8" width="29" customWidth="1"/>
    <col min="9" max="11" width="6" customWidth="1"/>
    <col min="12" max="12" width="19.33203125" customWidth="1"/>
    <col min="13" max="13" width="28.58203125" customWidth="1"/>
    <col min="14" max="14" width="30" customWidth="1"/>
    <col min="15" max="15" width="27.9140625" customWidth="1"/>
    <col min="16" max="16" width="29.1640625" customWidth="1"/>
    <col min="17" max="17" width="20.33203125" customWidth="1"/>
    <col min="18" max="18" width="15.5" customWidth="1"/>
    <col min="19" max="22" width="20.33203125" customWidth="1"/>
    <col min="23" max="23" width="15.5" customWidth="1"/>
    <col min="24" max="30" width="20.33203125" customWidth="1"/>
    <col min="31" max="31" width="15.5" customWidth="1"/>
    <col min="32" max="32" width="20.33203125" customWidth="1"/>
    <col min="33" max="33" width="15.5" customWidth="1"/>
    <col min="34" max="34" width="20.33203125" customWidth="1"/>
    <col min="35" max="36" width="15.5" customWidth="1"/>
    <col min="37" max="38" width="20.33203125" customWidth="1"/>
    <col min="39" max="39" width="15.5" customWidth="1"/>
    <col min="40" max="40" width="20.33203125" customWidth="1"/>
    <col min="41" max="41" width="9.33203125" customWidth="1"/>
    <col min="42" max="42" width="30" customWidth="1"/>
  </cols>
  <sheetData>
    <row r="1" spans="1:42" x14ac:dyDescent="0.4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  <c r="P1" s="4" t="s">
        <v>57</v>
      </c>
      <c r="Q1" s="4" t="s">
        <v>58</v>
      </c>
      <c r="R1" s="4" t="s">
        <v>59</v>
      </c>
      <c r="S1" s="4" t="s">
        <v>60</v>
      </c>
      <c r="T1" s="4" t="s">
        <v>61</v>
      </c>
      <c r="U1" s="4" t="s">
        <v>62</v>
      </c>
      <c r="V1" s="4" t="s">
        <v>63</v>
      </c>
      <c r="W1" s="4" t="s">
        <v>64</v>
      </c>
      <c r="X1" s="4" t="s">
        <v>65</v>
      </c>
      <c r="Y1" s="4" t="s">
        <v>66</v>
      </c>
      <c r="Z1" s="4" t="s">
        <v>67</v>
      </c>
      <c r="AA1" s="4" t="s">
        <v>68</v>
      </c>
      <c r="AB1" s="4" t="s">
        <v>69</v>
      </c>
      <c r="AC1" s="4" t="s">
        <v>70</v>
      </c>
      <c r="AD1" s="4" t="s">
        <v>71</v>
      </c>
      <c r="AE1" s="4" t="s">
        <v>72</v>
      </c>
      <c r="AF1" s="4" t="s">
        <v>73</v>
      </c>
      <c r="AG1" s="4" t="s">
        <v>74</v>
      </c>
      <c r="AH1" s="4" t="s">
        <v>75</v>
      </c>
      <c r="AI1" s="4" t="s">
        <v>76</v>
      </c>
      <c r="AJ1" s="4" t="s">
        <v>77</v>
      </c>
      <c r="AK1" s="4" t="s">
        <v>78</v>
      </c>
      <c r="AL1" s="4" t="s">
        <v>79</v>
      </c>
      <c r="AM1" s="4" t="s">
        <v>80</v>
      </c>
      <c r="AN1" s="4" t="s">
        <v>81</v>
      </c>
      <c r="AO1" s="4" t="s">
        <v>82</v>
      </c>
      <c r="AP1" s="4" t="s">
        <v>83</v>
      </c>
    </row>
    <row r="2" spans="1:42" x14ac:dyDescent="0.45">
      <c r="A2" s="6" t="s">
        <v>84</v>
      </c>
      <c r="B2" s="6">
        <v>2</v>
      </c>
      <c r="C2" s="7">
        <v>46309.438567951387</v>
      </c>
      <c r="D2" s="6" t="s">
        <v>85</v>
      </c>
      <c r="E2" s="6">
        <v>1</v>
      </c>
      <c r="F2" s="6" t="s">
        <v>86</v>
      </c>
      <c r="G2" s="6" t="s">
        <v>87</v>
      </c>
      <c r="H2" s="6" t="s">
        <v>88</v>
      </c>
      <c r="I2" s="6" t="s">
        <v>89</v>
      </c>
      <c r="J2" s="6">
        <v>34</v>
      </c>
      <c r="K2" s="6">
        <v>6</v>
      </c>
      <c r="L2" s="6" t="s">
        <v>90</v>
      </c>
      <c r="M2" s="6" t="s">
        <v>91</v>
      </c>
      <c r="N2" s="6" t="s">
        <v>92</v>
      </c>
      <c r="O2" s="6" t="s">
        <v>93</v>
      </c>
      <c r="P2" s="6" t="s">
        <v>94</v>
      </c>
      <c r="Q2" s="6" t="s">
        <v>95</v>
      </c>
      <c r="R2" s="6" t="s">
        <v>95</v>
      </c>
      <c r="S2" s="6" t="s">
        <v>95</v>
      </c>
      <c r="T2" s="6" t="s">
        <v>95</v>
      </c>
      <c r="U2" s="6" t="s">
        <v>95</v>
      </c>
      <c r="V2" s="6" t="s">
        <v>95</v>
      </c>
      <c r="W2" s="6" t="s">
        <v>95</v>
      </c>
      <c r="X2" s="6" t="s">
        <v>95</v>
      </c>
      <c r="Y2" s="6" t="s">
        <v>95</v>
      </c>
      <c r="Z2" s="6" t="s">
        <v>95</v>
      </c>
      <c r="AA2" s="6" t="s">
        <v>95</v>
      </c>
      <c r="AB2" s="6" t="s">
        <v>95</v>
      </c>
      <c r="AC2" s="6" t="s">
        <v>95</v>
      </c>
      <c r="AD2" s="6" t="s">
        <v>95</v>
      </c>
      <c r="AE2" s="6" t="s">
        <v>95</v>
      </c>
      <c r="AF2" s="6" t="s">
        <v>95</v>
      </c>
      <c r="AG2" s="6" t="s">
        <v>95</v>
      </c>
      <c r="AH2" s="6" t="s">
        <v>95</v>
      </c>
      <c r="AI2" s="6" t="s">
        <v>95</v>
      </c>
      <c r="AJ2" s="6" t="s">
        <v>95</v>
      </c>
      <c r="AK2" s="6" t="s">
        <v>95</v>
      </c>
      <c r="AL2" s="6" t="s">
        <v>95</v>
      </c>
      <c r="AM2" s="6" t="s">
        <v>95</v>
      </c>
      <c r="AN2" s="6" t="s">
        <v>95</v>
      </c>
      <c r="AO2" s="6">
        <v>0</v>
      </c>
      <c r="AP2" s="6" t="s">
        <v>96</v>
      </c>
    </row>
    <row r="3" spans="1:42" x14ac:dyDescent="0.45">
      <c r="A3" s="6" t="s">
        <v>97</v>
      </c>
      <c r="B3" s="6">
        <v>3</v>
      </c>
      <c r="C3" s="7">
        <v>46309.439336689808</v>
      </c>
      <c r="D3" s="6" t="s">
        <v>85</v>
      </c>
      <c r="E3" s="6">
        <v>1</v>
      </c>
      <c r="F3" s="6" t="s">
        <v>98</v>
      </c>
      <c r="G3" s="6" t="s">
        <v>99</v>
      </c>
      <c r="H3" s="6" t="s">
        <v>88</v>
      </c>
      <c r="I3" s="6" t="s">
        <v>89</v>
      </c>
      <c r="J3" s="6">
        <v>38</v>
      </c>
      <c r="K3" s="6">
        <v>11</v>
      </c>
      <c r="L3" s="6" t="s">
        <v>90</v>
      </c>
      <c r="M3" s="6" t="s">
        <v>100</v>
      </c>
      <c r="N3" s="6" t="s">
        <v>101</v>
      </c>
      <c r="O3" s="6" t="s">
        <v>102</v>
      </c>
      <c r="P3" s="6" t="s">
        <v>103</v>
      </c>
      <c r="Q3" s="6" t="s">
        <v>104</v>
      </c>
      <c r="R3" s="6" t="s">
        <v>104</v>
      </c>
      <c r="S3" s="6" t="s">
        <v>104</v>
      </c>
      <c r="T3" s="6" t="s">
        <v>104</v>
      </c>
      <c r="U3" s="6" t="s">
        <v>104</v>
      </c>
      <c r="V3" s="6" t="s">
        <v>104</v>
      </c>
      <c r="W3" s="6" t="s">
        <v>104</v>
      </c>
      <c r="X3" s="6" t="s">
        <v>104</v>
      </c>
      <c r="Y3" s="6" t="s">
        <v>104</v>
      </c>
      <c r="Z3" s="6" t="s">
        <v>104</v>
      </c>
      <c r="AA3" s="6" t="s">
        <v>104</v>
      </c>
      <c r="AB3" s="6" t="s">
        <v>104</v>
      </c>
      <c r="AC3" s="6" t="s">
        <v>104</v>
      </c>
      <c r="AD3" s="6" t="s">
        <v>104</v>
      </c>
      <c r="AE3" s="6" t="s">
        <v>104</v>
      </c>
      <c r="AF3" s="6" t="s">
        <v>104</v>
      </c>
      <c r="AG3" s="6" t="s">
        <v>104</v>
      </c>
      <c r="AH3" s="6" t="s">
        <v>104</v>
      </c>
      <c r="AI3" s="6" t="s">
        <v>104</v>
      </c>
      <c r="AJ3" s="6" t="s">
        <v>104</v>
      </c>
      <c r="AK3" s="6" t="s">
        <v>104</v>
      </c>
      <c r="AL3" s="6" t="s">
        <v>104</v>
      </c>
      <c r="AM3" s="6" t="s">
        <v>104</v>
      </c>
      <c r="AN3" s="6" t="s">
        <v>104</v>
      </c>
      <c r="AO3" s="6">
        <v>0</v>
      </c>
      <c r="AP3" s="6" t="s">
        <v>105</v>
      </c>
    </row>
    <row r="4" spans="1:42" x14ac:dyDescent="0.45">
      <c r="A4" s="6" t="s">
        <v>106</v>
      </c>
      <c r="B4" s="6">
        <v>4</v>
      </c>
      <c r="C4" s="7">
        <v>46309.482273842586</v>
      </c>
      <c r="D4" s="6" t="s">
        <v>107</v>
      </c>
      <c r="E4" s="6">
        <v>0</v>
      </c>
      <c r="F4" s="6" t="s">
        <v>108</v>
      </c>
      <c r="G4" s="6" t="s">
        <v>109</v>
      </c>
      <c r="H4" s="6" t="s">
        <v>110</v>
      </c>
      <c r="I4" s="6" t="s">
        <v>89</v>
      </c>
      <c r="J4" s="6">
        <v>58</v>
      </c>
      <c r="K4" s="6">
        <v>35</v>
      </c>
      <c r="L4" s="6" t="s">
        <v>111</v>
      </c>
      <c r="M4" s="6" t="s">
        <v>112</v>
      </c>
      <c r="N4" s="6" t="s">
        <v>113</v>
      </c>
      <c r="O4" s="6" t="s">
        <v>114</v>
      </c>
      <c r="P4" s="6" t="s">
        <v>94</v>
      </c>
      <c r="Q4" s="6" t="s">
        <v>95</v>
      </c>
      <c r="R4" s="6" t="s">
        <v>95</v>
      </c>
      <c r="S4" s="6" t="s">
        <v>115</v>
      </c>
      <c r="T4" s="6" t="s">
        <v>115</v>
      </c>
      <c r="U4" s="6" t="s">
        <v>115</v>
      </c>
      <c r="V4" s="6" t="s">
        <v>95</v>
      </c>
      <c r="W4" s="6" t="s">
        <v>95</v>
      </c>
      <c r="X4" s="6" t="s">
        <v>116</v>
      </c>
      <c r="Y4" s="6" t="s">
        <v>116</v>
      </c>
      <c r="Z4" s="6" t="s">
        <v>116</v>
      </c>
      <c r="AA4" s="6" t="s">
        <v>116</v>
      </c>
      <c r="AB4" s="6" t="s">
        <v>116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>
        <v>1</v>
      </c>
      <c r="AP4" s="6"/>
    </row>
    <row r="5" spans="1:42" x14ac:dyDescent="0.45">
      <c r="A5" s="6" t="s">
        <v>117</v>
      </c>
      <c r="B5" s="6">
        <v>5</v>
      </c>
      <c r="C5" s="7">
        <v>46310.254742777783</v>
      </c>
      <c r="D5" s="6" t="s">
        <v>107</v>
      </c>
      <c r="E5" s="6">
        <v>0</v>
      </c>
      <c r="F5" s="6" t="s">
        <v>118</v>
      </c>
      <c r="G5" s="6" t="s">
        <v>119</v>
      </c>
      <c r="H5" s="6" t="s">
        <v>110</v>
      </c>
      <c r="I5" s="6" t="s">
        <v>89</v>
      </c>
      <c r="J5" s="6">
        <v>63</v>
      </c>
      <c r="K5" s="6">
        <v>34</v>
      </c>
      <c r="L5" s="6" t="s">
        <v>111</v>
      </c>
      <c r="M5" s="6" t="s">
        <v>91</v>
      </c>
      <c r="N5" s="6" t="s">
        <v>113</v>
      </c>
      <c r="O5" s="6" t="s">
        <v>114</v>
      </c>
      <c r="P5" s="6" t="s">
        <v>94</v>
      </c>
      <c r="Q5" s="6" t="s">
        <v>116</v>
      </c>
      <c r="R5" s="6" t="s">
        <v>116</v>
      </c>
      <c r="S5" s="6" t="s">
        <v>116</v>
      </c>
      <c r="T5" s="6" t="s">
        <v>95</v>
      </c>
      <c r="U5" s="6" t="s">
        <v>95</v>
      </c>
      <c r="V5" s="6" t="s">
        <v>116</v>
      </c>
      <c r="W5" s="6" t="s">
        <v>116</v>
      </c>
      <c r="X5" s="6" t="s">
        <v>95</v>
      </c>
      <c r="Y5" s="6" t="s">
        <v>95</v>
      </c>
      <c r="Z5" s="6" t="s">
        <v>95</v>
      </c>
      <c r="AA5" s="6" t="s">
        <v>95</v>
      </c>
      <c r="AB5" s="6" t="s">
        <v>95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>
        <v>1</v>
      </c>
      <c r="AP5" s="6"/>
    </row>
    <row r="6" spans="1:42" x14ac:dyDescent="0.45">
      <c r="A6" s="6" t="s">
        <v>120</v>
      </c>
      <c r="B6" s="6">
        <v>6</v>
      </c>
      <c r="C6" s="7">
        <v>46310.614983425927</v>
      </c>
      <c r="D6" s="6" t="s">
        <v>85</v>
      </c>
      <c r="E6" s="6">
        <v>1</v>
      </c>
      <c r="F6" s="6" t="s">
        <v>121</v>
      </c>
      <c r="G6" s="6" t="s">
        <v>122</v>
      </c>
      <c r="H6" s="6" t="s">
        <v>88</v>
      </c>
      <c r="I6" s="6" t="s">
        <v>89</v>
      </c>
      <c r="J6" s="6">
        <v>48</v>
      </c>
      <c r="K6" s="6">
        <v>9</v>
      </c>
      <c r="L6" s="6" t="s">
        <v>90</v>
      </c>
      <c r="M6" s="6" t="s">
        <v>91</v>
      </c>
      <c r="N6" s="6" t="s">
        <v>113</v>
      </c>
      <c r="O6" s="6" t="s">
        <v>102</v>
      </c>
      <c r="P6" s="6" t="s">
        <v>103</v>
      </c>
      <c r="Q6" s="6" t="s">
        <v>95</v>
      </c>
      <c r="R6" s="6" t="s">
        <v>116</v>
      </c>
      <c r="S6" s="6" t="s">
        <v>95</v>
      </c>
      <c r="T6" s="6" t="s">
        <v>116</v>
      </c>
      <c r="U6" s="6" t="s">
        <v>116</v>
      </c>
      <c r="V6" s="6" t="s">
        <v>116</v>
      </c>
      <c r="W6" s="6" t="s">
        <v>116</v>
      </c>
      <c r="X6" s="6" t="s">
        <v>116</v>
      </c>
      <c r="Y6" s="6" t="s">
        <v>95</v>
      </c>
      <c r="Z6" s="6" t="s">
        <v>95</v>
      </c>
      <c r="AA6" s="6" t="s">
        <v>95</v>
      </c>
      <c r="AB6" s="6" t="s">
        <v>95</v>
      </c>
      <c r="AC6" s="6" t="s">
        <v>95</v>
      </c>
      <c r="AD6" s="6" t="s">
        <v>95</v>
      </c>
      <c r="AE6" s="6" t="s">
        <v>116</v>
      </c>
      <c r="AF6" s="6" t="s">
        <v>116</v>
      </c>
      <c r="AG6" s="6" t="s">
        <v>116</v>
      </c>
      <c r="AH6" s="6" t="s">
        <v>95</v>
      </c>
      <c r="AI6" s="6" t="s">
        <v>116</v>
      </c>
      <c r="AJ6" s="6" t="s">
        <v>116</v>
      </c>
      <c r="AK6" s="6" t="s">
        <v>116</v>
      </c>
      <c r="AL6" s="6" t="s">
        <v>116</v>
      </c>
      <c r="AM6" s="6" t="s">
        <v>116</v>
      </c>
      <c r="AN6" s="6" t="s">
        <v>116</v>
      </c>
      <c r="AO6" s="6">
        <v>1</v>
      </c>
      <c r="AP6" s="6"/>
    </row>
    <row r="7" spans="1:42" x14ac:dyDescent="0.45">
      <c r="A7" s="6" t="s">
        <v>123</v>
      </c>
      <c r="B7" s="6">
        <v>7</v>
      </c>
      <c r="C7" s="7">
        <v>46315.345644293979</v>
      </c>
      <c r="D7" s="6" t="s">
        <v>85</v>
      </c>
      <c r="E7" s="6">
        <v>1</v>
      </c>
      <c r="F7" s="6"/>
      <c r="G7" s="6"/>
      <c r="H7" s="6" t="s">
        <v>110</v>
      </c>
      <c r="I7" s="6" t="s">
        <v>89</v>
      </c>
      <c r="J7" s="6">
        <v>50</v>
      </c>
      <c r="K7" s="6">
        <v>25</v>
      </c>
      <c r="L7" s="6" t="s">
        <v>124</v>
      </c>
      <c r="M7" s="6" t="s">
        <v>125</v>
      </c>
      <c r="N7" s="6" t="s">
        <v>113</v>
      </c>
      <c r="O7" s="6" t="s">
        <v>102</v>
      </c>
      <c r="P7" s="6" t="s">
        <v>94</v>
      </c>
      <c r="Q7" s="6" t="s">
        <v>95</v>
      </c>
      <c r="R7" s="6" t="s">
        <v>95</v>
      </c>
      <c r="S7" s="6" t="s">
        <v>116</v>
      </c>
      <c r="T7" s="6" t="s">
        <v>116</v>
      </c>
      <c r="U7" s="6" t="s">
        <v>116</v>
      </c>
      <c r="V7" s="6" t="s">
        <v>116</v>
      </c>
      <c r="W7" s="6" t="s">
        <v>116</v>
      </c>
      <c r="X7" s="6" t="s">
        <v>116</v>
      </c>
      <c r="Y7" s="6" t="s">
        <v>104</v>
      </c>
      <c r="Z7" s="6" t="s">
        <v>104</v>
      </c>
      <c r="AA7" s="6" t="s">
        <v>104</v>
      </c>
      <c r="AB7" s="6" t="s">
        <v>116</v>
      </c>
      <c r="AC7" s="6" t="s">
        <v>116</v>
      </c>
      <c r="AD7" s="6" t="s">
        <v>116</v>
      </c>
      <c r="AE7" s="6" t="s">
        <v>116</v>
      </c>
      <c r="AF7" s="6" t="s">
        <v>116</v>
      </c>
      <c r="AG7" s="6" t="s">
        <v>116</v>
      </c>
      <c r="AH7" s="6" t="s">
        <v>116</v>
      </c>
      <c r="AI7" s="6" t="s">
        <v>116</v>
      </c>
      <c r="AJ7" s="6" t="s">
        <v>116</v>
      </c>
      <c r="AK7" s="6" t="s">
        <v>116</v>
      </c>
      <c r="AL7" s="6" t="s">
        <v>116</v>
      </c>
      <c r="AM7" s="6" t="s">
        <v>116</v>
      </c>
      <c r="AN7" s="6" t="s">
        <v>116</v>
      </c>
      <c r="AO7" s="6">
        <v>1</v>
      </c>
      <c r="AP7" s="6"/>
    </row>
    <row r="8" spans="1:42" x14ac:dyDescent="0.45">
      <c r="A8" s="6" t="s">
        <v>126</v>
      </c>
      <c r="B8" s="6">
        <v>8</v>
      </c>
      <c r="C8" s="7">
        <v>46315.346808472219</v>
      </c>
      <c r="D8" s="6" t="s">
        <v>107</v>
      </c>
      <c r="E8" s="6">
        <v>0</v>
      </c>
      <c r="F8" s="6"/>
      <c r="G8" s="6"/>
      <c r="H8" s="6" t="s">
        <v>110</v>
      </c>
      <c r="I8" s="6" t="s">
        <v>89</v>
      </c>
      <c r="J8" s="6">
        <v>51</v>
      </c>
      <c r="K8" s="6">
        <v>26</v>
      </c>
      <c r="L8" s="6" t="s">
        <v>124</v>
      </c>
      <c r="M8" s="6" t="s">
        <v>125</v>
      </c>
      <c r="N8" s="6" t="s">
        <v>113</v>
      </c>
      <c r="O8" s="6" t="s">
        <v>114</v>
      </c>
      <c r="P8" s="6" t="s">
        <v>103</v>
      </c>
      <c r="Q8" s="6" t="s">
        <v>116</v>
      </c>
      <c r="R8" s="6" t="s">
        <v>116</v>
      </c>
      <c r="S8" s="6" t="s">
        <v>116</v>
      </c>
      <c r="T8" s="6" t="s">
        <v>116</v>
      </c>
      <c r="U8" s="6" t="s">
        <v>95</v>
      </c>
      <c r="V8" s="6" t="s">
        <v>116</v>
      </c>
      <c r="W8" s="6" t="s">
        <v>116</v>
      </c>
      <c r="X8" s="6" t="s">
        <v>116</v>
      </c>
      <c r="Y8" s="6" t="s">
        <v>116</v>
      </c>
      <c r="Z8" s="6" t="s">
        <v>116</v>
      </c>
      <c r="AA8" s="6" t="s">
        <v>116</v>
      </c>
      <c r="AB8" s="6" t="s">
        <v>116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>
        <v>1</v>
      </c>
      <c r="AP8" s="6"/>
    </row>
    <row r="9" spans="1:42" x14ac:dyDescent="0.45">
      <c r="A9" s="6" t="s">
        <v>127</v>
      </c>
      <c r="B9" s="6">
        <v>9</v>
      </c>
      <c r="C9" s="7">
        <v>46315.352890578702</v>
      </c>
      <c r="D9" s="6" t="s">
        <v>107</v>
      </c>
      <c r="E9" s="6">
        <v>0</v>
      </c>
      <c r="F9" s="6"/>
      <c r="G9" s="6"/>
      <c r="H9" s="6" t="s">
        <v>110</v>
      </c>
      <c r="I9" s="6" t="s">
        <v>89</v>
      </c>
      <c r="J9" s="6">
        <v>43</v>
      </c>
      <c r="K9" s="6">
        <v>1</v>
      </c>
      <c r="L9" s="6" t="s">
        <v>111</v>
      </c>
      <c r="M9" s="6" t="s">
        <v>112</v>
      </c>
      <c r="N9" s="6" t="s">
        <v>113</v>
      </c>
      <c r="O9" s="6" t="s">
        <v>114</v>
      </c>
      <c r="P9" s="6" t="s">
        <v>103</v>
      </c>
      <c r="Q9" s="6" t="s">
        <v>116</v>
      </c>
      <c r="R9" s="6" t="s">
        <v>95</v>
      </c>
      <c r="S9" s="6" t="s">
        <v>95</v>
      </c>
      <c r="T9" s="6" t="s">
        <v>116</v>
      </c>
      <c r="U9" s="6" t="s">
        <v>95</v>
      </c>
      <c r="V9" s="6" t="s">
        <v>115</v>
      </c>
      <c r="W9" s="6" t="s">
        <v>95</v>
      </c>
      <c r="X9" s="6" t="s">
        <v>116</v>
      </c>
      <c r="Y9" s="6" t="s">
        <v>95</v>
      </c>
      <c r="Z9" s="6" t="s">
        <v>116</v>
      </c>
      <c r="AA9" s="6" t="s">
        <v>116</v>
      </c>
      <c r="AB9" s="6" t="s">
        <v>95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>
        <v>1</v>
      </c>
      <c r="AP9" s="6"/>
    </row>
    <row r="10" spans="1:42" x14ac:dyDescent="0.45">
      <c r="A10" s="6" t="s">
        <v>128</v>
      </c>
      <c r="B10" s="6">
        <v>10</v>
      </c>
      <c r="C10" s="7">
        <v>46315.354265509261</v>
      </c>
      <c r="D10" s="6" t="s">
        <v>85</v>
      </c>
      <c r="E10" s="6">
        <v>1</v>
      </c>
      <c r="F10" s="6"/>
      <c r="G10" s="6"/>
      <c r="H10" s="6" t="s">
        <v>88</v>
      </c>
      <c r="I10" s="6" t="s">
        <v>89</v>
      </c>
      <c r="J10" s="6">
        <v>32</v>
      </c>
      <c r="K10" s="6">
        <v>2</v>
      </c>
      <c r="L10" s="6" t="s">
        <v>90</v>
      </c>
      <c r="M10" s="6" t="s">
        <v>91</v>
      </c>
      <c r="N10" s="6" t="s">
        <v>92</v>
      </c>
      <c r="O10" s="6" t="s">
        <v>114</v>
      </c>
      <c r="P10" s="6" t="s">
        <v>129</v>
      </c>
      <c r="Q10" s="6" t="s">
        <v>104</v>
      </c>
      <c r="R10" s="6" t="s">
        <v>104</v>
      </c>
      <c r="S10" s="6" t="s">
        <v>104</v>
      </c>
      <c r="T10" s="6" t="s">
        <v>104</v>
      </c>
      <c r="U10" s="6" t="s">
        <v>104</v>
      </c>
      <c r="V10" s="6" t="s">
        <v>104</v>
      </c>
      <c r="W10" s="6" t="s">
        <v>104</v>
      </c>
      <c r="X10" s="6" t="s">
        <v>104</v>
      </c>
      <c r="Y10" s="6" t="s">
        <v>95</v>
      </c>
      <c r="Z10" s="6" t="s">
        <v>95</v>
      </c>
      <c r="AA10" s="6" t="s">
        <v>115</v>
      </c>
      <c r="AB10" s="6" t="s">
        <v>115</v>
      </c>
      <c r="AC10" s="6" t="s">
        <v>104</v>
      </c>
      <c r="AD10" s="6" t="s">
        <v>104</v>
      </c>
      <c r="AE10" s="6" t="s">
        <v>104</v>
      </c>
      <c r="AF10" s="6" t="s">
        <v>104</v>
      </c>
      <c r="AG10" s="6" t="s">
        <v>104</v>
      </c>
      <c r="AH10" s="6" t="s">
        <v>104</v>
      </c>
      <c r="AI10" s="6" t="s">
        <v>104</v>
      </c>
      <c r="AJ10" s="6" t="s">
        <v>104</v>
      </c>
      <c r="AK10" s="6" t="s">
        <v>104</v>
      </c>
      <c r="AL10" s="6" t="s">
        <v>104</v>
      </c>
      <c r="AM10" s="6" t="s">
        <v>104</v>
      </c>
      <c r="AN10" s="6" t="s">
        <v>104</v>
      </c>
      <c r="AO10" s="6">
        <v>1</v>
      </c>
      <c r="AP10" s="6"/>
    </row>
    <row r="11" spans="1:42" x14ac:dyDescent="0.45">
      <c r="A11" s="6" t="s">
        <v>130</v>
      </c>
      <c r="B11" s="6">
        <v>11</v>
      </c>
      <c r="C11" s="7">
        <v>46315.361240578713</v>
      </c>
      <c r="D11" s="6" t="s">
        <v>85</v>
      </c>
      <c r="E11" s="6">
        <v>1</v>
      </c>
      <c r="F11" s="6"/>
      <c r="G11" s="6"/>
      <c r="H11" s="6" t="s">
        <v>88</v>
      </c>
      <c r="I11" s="6" t="s">
        <v>89</v>
      </c>
      <c r="J11" s="6">
        <v>32</v>
      </c>
      <c r="K11" s="6">
        <v>5</v>
      </c>
      <c r="L11" s="6" t="s">
        <v>90</v>
      </c>
      <c r="M11" s="6" t="s">
        <v>112</v>
      </c>
      <c r="N11" s="6" t="s">
        <v>131</v>
      </c>
      <c r="O11" s="6" t="s">
        <v>93</v>
      </c>
      <c r="P11" s="6" t="s">
        <v>94</v>
      </c>
      <c r="Q11" s="6" t="s">
        <v>115</v>
      </c>
      <c r="R11" s="6" t="s">
        <v>95</v>
      </c>
      <c r="S11" s="6" t="s">
        <v>95</v>
      </c>
      <c r="T11" s="6" t="s">
        <v>95</v>
      </c>
      <c r="U11" s="6" t="s">
        <v>95</v>
      </c>
      <c r="V11" s="6" t="s">
        <v>95</v>
      </c>
      <c r="W11" s="6" t="s">
        <v>116</v>
      </c>
      <c r="X11" s="6" t="s">
        <v>95</v>
      </c>
      <c r="Y11" s="6" t="s">
        <v>116</v>
      </c>
      <c r="Z11" s="6" t="s">
        <v>116</v>
      </c>
      <c r="AA11" s="6" t="s">
        <v>116</v>
      </c>
      <c r="AB11" s="6" t="s">
        <v>116</v>
      </c>
      <c r="AC11" s="6" t="s">
        <v>116</v>
      </c>
      <c r="AD11" s="6" t="s">
        <v>95</v>
      </c>
      <c r="AE11" s="6" t="s">
        <v>95</v>
      </c>
      <c r="AF11" s="6" t="s">
        <v>95</v>
      </c>
      <c r="AG11" s="6" t="s">
        <v>115</v>
      </c>
      <c r="AH11" s="6" t="s">
        <v>115</v>
      </c>
      <c r="AI11" s="6" t="s">
        <v>116</v>
      </c>
      <c r="AJ11" s="6" t="s">
        <v>95</v>
      </c>
      <c r="AK11" s="6" t="s">
        <v>95</v>
      </c>
      <c r="AL11" s="6" t="s">
        <v>95</v>
      </c>
      <c r="AM11" s="6" t="s">
        <v>95</v>
      </c>
      <c r="AN11" s="6" t="s">
        <v>95</v>
      </c>
      <c r="AO11" s="6">
        <v>1</v>
      </c>
      <c r="AP11" s="6"/>
    </row>
    <row r="12" spans="1:42" x14ac:dyDescent="0.45">
      <c r="A12" s="6" t="s">
        <v>132</v>
      </c>
      <c r="B12" s="6">
        <v>12</v>
      </c>
      <c r="C12" s="7">
        <v>46315.37103490741</v>
      </c>
      <c r="D12" s="6" t="s">
        <v>85</v>
      </c>
      <c r="E12" s="6">
        <v>1</v>
      </c>
      <c r="F12" s="6"/>
      <c r="G12" s="6"/>
      <c r="H12" s="6" t="s">
        <v>88</v>
      </c>
      <c r="I12" s="6" t="s">
        <v>89</v>
      </c>
      <c r="J12" s="6">
        <v>49</v>
      </c>
      <c r="K12" s="6">
        <v>1</v>
      </c>
      <c r="L12" s="6" t="s">
        <v>90</v>
      </c>
      <c r="M12" s="6" t="s">
        <v>91</v>
      </c>
      <c r="N12" s="6" t="s">
        <v>113</v>
      </c>
      <c r="O12" s="6" t="s">
        <v>114</v>
      </c>
      <c r="P12" s="6" t="s">
        <v>94</v>
      </c>
      <c r="Q12" s="6" t="s">
        <v>115</v>
      </c>
      <c r="R12" s="6" t="s">
        <v>95</v>
      </c>
      <c r="S12" s="6" t="s">
        <v>95</v>
      </c>
      <c r="T12" s="6" t="s">
        <v>115</v>
      </c>
      <c r="U12" s="6" t="s">
        <v>104</v>
      </c>
      <c r="V12" s="6" t="s">
        <v>115</v>
      </c>
      <c r="W12" s="6" t="s">
        <v>95</v>
      </c>
      <c r="X12" s="6" t="s">
        <v>95</v>
      </c>
      <c r="Y12" s="6" t="s">
        <v>115</v>
      </c>
      <c r="Z12" s="6" t="s">
        <v>115</v>
      </c>
      <c r="AA12" s="6" t="s">
        <v>115</v>
      </c>
      <c r="AB12" s="6" t="s">
        <v>115</v>
      </c>
      <c r="AC12" s="6" t="s">
        <v>116</v>
      </c>
      <c r="AD12" s="6" t="s">
        <v>116</v>
      </c>
      <c r="AE12" s="6" t="s">
        <v>116</v>
      </c>
      <c r="AF12" s="6" t="s">
        <v>116</v>
      </c>
      <c r="AG12" s="6" t="s">
        <v>95</v>
      </c>
      <c r="AH12" s="6" t="s">
        <v>95</v>
      </c>
      <c r="AI12" s="6" t="s">
        <v>116</v>
      </c>
      <c r="AJ12" s="6" t="s">
        <v>116</v>
      </c>
      <c r="AK12" s="6" t="s">
        <v>95</v>
      </c>
      <c r="AL12" s="6" t="s">
        <v>95</v>
      </c>
      <c r="AM12" s="6" t="s">
        <v>115</v>
      </c>
      <c r="AN12" s="6" t="s">
        <v>115</v>
      </c>
      <c r="AO12" s="6">
        <v>1</v>
      </c>
      <c r="AP12" s="6"/>
    </row>
    <row r="13" spans="1:42" x14ac:dyDescent="0.45">
      <c r="A13" s="6" t="s">
        <v>133</v>
      </c>
      <c r="B13" s="6">
        <v>13</v>
      </c>
      <c r="C13" s="7">
        <v>46315.409317638892</v>
      </c>
      <c r="D13" s="6" t="s">
        <v>85</v>
      </c>
      <c r="E13" s="6">
        <v>1</v>
      </c>
      <c r="F13" s="6"/>
      <c r="G13" s="6"/>
      <c r="H13" s="6" t="s">
        <v>88</v>
      </c>
      <c r="I13" s="6" t="s">
        <v>89</v>
      </c>
      <c r="J13" s="6">
        <v>30</v>
      </c>
      <c r="K13" s="6">
        <v>3</v>
      </c>
      <c r="L13" s="6" t="s">
        <v>90</v>
      </c>
      <c r="M13" s="6" t="s">
        <v>112</v>
      </c>
      <c r="N13" s="6" t="s">
        <v>131</v>
      </c>
      <c r="O13" s="6" t="s">
        <v>114</v>
      </c>
      <c r="P13" s="6" t="s">
        <v>94</v>
      </c>
      <c r="Q13" s="6" t="s">
        <v>116</v>
      </c>
      <c r="R13" s="6" t="s">
        <v>104</v>
      </c>
      <c r="S13" s="6" t="s">
        <v>95</v>
      </c>
      <c r="T13" s="6" t="s">
        <v>116</v>
      </c>
      <c r="U13" s="6" t="s">
        <v>116</v>
      </c>
      <c r="V13" s="6" t="s">
        <v>95</v>
      </c>
      <c r="W13" s="6" t="s">
        <v>116</v>
      </c>
      <c r="X13" s="6" t="s">
        <v>116</v>
      </c>
      <c r="Y13" s="6" t="s">
        <v>115</v>
      </c>
      <c r="Z13" s="6" t="s">
        <v>115</v>
      </c>
      <c r="AA13" s="6" t="s">
        <v>95</v>
      </c>
      <c r="AB13" s="6" t="s">
        <v>104</v>
      </c>
      <c r="AC13" s="6" t="s">
        <v>104</v>
      </c>
      <c r="AD13" s="6" t="s">
        <v>116</v>
      </c>
      <c r="AE13" s="6" t="s">
        <v>116</v>
      </c>
      <c r="AF13" s="6" t="s">
        <v>95</v>
      </c>
      <c r="AG13" s="6" t="s">
        <v>116</v>
      </c>
      <c r="AH13" s="6" t="s">
        <v>116</v>
      </c>
      <c r="AI13" s="6" t="s">
        <v>104</v>
      </c>
      <c r="AJ13" s="6" t="s">
        <v>116</v>
      </c>
      <c r="AK13" s="6" t="s">
        <v>95</v>
      </c>
      <c r="AL13" s="6" t="s">
        <v>115</v>
      </c>
      <c r="AM13" s="6" t="s">
        <v>115</v>
      </c>
      <c r="AN13" s="6" t="s">
        <v>115</v>
      </c>
      <c r="AO13" s="6">
        <v>1</v>
      </c>
      <c r="AP13" s="6"/>
    </row>
    <row r="14" spans="1:42" x14ac:dyDescent="0.45">
      <c r="A14" s="6" t="s">
        <v>134</v>
      </c>
      <c r="B14" s="6">
        <v>14</v>
      </c>
      <c r="C14" s="7">
        <v>46315.529926793977</v>
      </c>
      <c r="D14" s="6" t="s">
        <v>85</v>
      </c>
      <c r="E14" s="6">
        <v>1</v>
      </c>
      <c r="F14" s="6"/>
      <c r="G14" s="6"/>
      <c r="H14" s="6" t="s">
        <v>110</v>
      </c>
      <c r="I14" s="6" t="s">
        <v>89</v>
      </c>
      <c r="J14" s="6">
        <v>65</v>
      </c>
      <c r="K14" s="6">
        <v>12</v>
      </c>
      <c r="L14" s="6" t="s">
        <v>124</v>
      </c>
      <c r="M14" s="6" t="s">
        <v>125</v>
      </c>
      <c r="N14" s="6" t="s">
        <v>113</v>
      </c>
      <c r="O14" s="6" t="s">
        <v>135</v>
      </c>
      <c r="P14" s="6" t="s">
        <v>94</v>
      </c>
      <c r="Q14" s="6" t="s">
        <v>95</v>
      </c>
      <c r="R14" s="6" t="s">
        <v>104</v>
      </c>
      <c r="S14" s="6" t="s">
        <v>104</v>
      </c>
      <c r="T14" s="6" t="s">
        <v>104</v>
      </c>
      <c r="U14" s="6" t="s">
        <v>104</v>
      </c>
      <c r="V14" s="6" t="s">
        <v>104</v>
      </c>
      <c r="W14" s="6" t="s">
        <v>104</v>
      </c>
      <c r="X14" s="6" t="s">
        <v>104</v>
      </c>
      <c r="Y14" s="6" t="s">
        <v>104</v>
      </c>
      <c r="Z14" s="6" t="s">
        <v>104</v>
      </c>
      <c r="AA14" s="6" t="s">
        <v>104</v>
      </c>
      <c r="AB14" s="6" t="s">
        <v>104</v>
      </c>
      <c r="AC14" s="6" t="s">
        <v>104</v>
      </c>
      <c r="AD14" s="6" t="s">
        <v>104</v>
      </c>
      <c r="AE14" s="6" t="s">
        <v>104</v>
      </c>
      <c r="AF14" s="6" t="s">
        <v>104</v>
      </c>
      <c r="AG14" s="6" t="s">
        <v>104</v>
      </c>
      <c r="AH14" s="6" t="s">
        <v>104</v>
      </c>
      <c r="AI14" s="6" t="s">
        <v>104</v>
      </c>
      <c r="AJ14" s="6" t="s">
        <v>104</v>
      </c>
      <c r="AK14" s="6" t="s">
        <v>104</v>
      </c>
      <c r="AL14" s="6" t="s">
        <v>104</v>
      </c>
      <c r="AM14" s="6" t="s">
        <v>104</v>
      </c>
      <c r="AN14" s="6" t="s">
        <v>104</v>
      </c>
      <c r="AO14" s="6">
        <v>1</v>
      </c>
      <c r="AP14" s="6"/>
    </row>
    <row r="15" spans="1:42" x14ac:dyDescent="0.45">
      <c r="A15" s="6" t="s">
        <v>136</v>
      </c>
      <c r="B15" s="6">
        <v>15</v>
      </c>
      <c r="C15" s="7">
        <v>46315.530081608798</v>
      </c>
      <c r="D15" s="6" t="s">
        <v>85</v>
      </c>
      <c r="E15" s="6">
        <v>1</v>
      </c>
      <c r="F15" s="6"/>
      <c r="G15" s="6"/>
      <c r="H15" s="6" t="s">
        <v>110</v>
      </c>
      <c r="I15" s="6" t="s">
        <v>89</v>
      </c>
      <c r="J15" s="6">
        <v>53</v>
      </c>
      <c r="K15" s="6">
        <v>28</v>
      </c>
      <c r="L15" s="6" t="s">
        <v>111</v>
      </c>
      <c r="M15" s="6" t="s">
        <v>91</v>
      </c>
      <c r="N15" s="6" t="s">
        <v>92</v>
      </c>
      <c r="O15" s="6" t="s">
        <v>102</v>
      </c>
      <c r="P15" s="6" t="s">
        <v>103</v>
      </c>
      <c r="Q15" s="6" t="s">
        <v>104</v>
      </c>
      <c r="R15" s="6" t="s">
        <v>104</v>
      </c>
      <c r="S15" s="6" t="s">
        <v>104</v>
      </c>
      <c r="T15" s="6" t="s">
        <v>116</v>
      </c>
      <c r="U15" s="6" t="s">
        <v>116</v>
      </c>
      <c r="V15" s="6" t="s">
        <v>116</v>
      </c>
      <c r="W15" s="6" t="s">
        <v>104</v>
      </c>
      <c r="X15" s="6" t="s">
        <v>116</v>
      </c>
      <c r="Y15" s="6" t="s">
        <v>116</v>
      </c>
      <c r="Z15" s="6" t="s">
        <v>116</v>
      </c>
      <c r="AA15" s="6" t="s">
        <v>116</v>
      </c>
      <c r="AB15" s="6" t="s">
        <v>116</v>
      </c>
      <c r="AC15" s="6" t="s">
        <v>116</v>
      </c>
      <c r="AD15" s="6" t="s">
        <v>115</v>
      </c>
      <c r="AE15" s="6" t="s">
        <v>116</v>
      </c>
      <c r="AF15" s="6" t="s">
        <v>115</v>
      </c>
      <c r="AG15" s="6" t="s">
        <v>95</v>
      </c>
      <c r="AH15" s="6" t="s">
        <v>95</v>
      </c>
      <c r="AI15" s="6" t="s">
        <v>116</v>
      </c>
      <c r="AJ15" s="6" t="s">
        <v>95</v>
      </c>
      <c r="AK15" s="6" t="s">
        <v>116</v>
      </c>
      <c r="AL15" s="6" t="s">
        <v>116</v>
      </c>
      <c r="AM15" s="6" t="s">
        <v>115</v>
      </c>
      <c r="AN15" s="6" t="s">
        <v>116</v>
      </c>
      <c r="AO15" s="6">
        <v>1</v>
      </c>
      <c r="AP15" s="6"/>
    </row>
    <row r="16" spans="1:42" x14ac:dyDescent="0.45">
      <c r="A16" s="6" t="s">
        <v>137</v>
      </c>
      <c r="B16" s="6">
        <v>16</v>
      </c>
      <c r="C16" s="7">
        <v>46315.53123359954</v>
      </c>
      <c r="D16" s="6" t="s">
        <v>85</v>
      </c>
      <c r="E16" s="6">
        <v>1</v>
      </c>
      <c r="F16" s="6"/>
      <c r="G16" s="6"/>
      <c r="H16" s="6" t="s">
        <v>110</v>
      </c>
      <c r="I16" s="6" t="s">
        <v>89</v>
      </c>
      <c r="J16" s="6">
        <v>53</v>
      </c>
      <c r="K16" s="6">
        <v>23</v>
      </c>
      <c r="L16" s="6" t="s">
        <v>111</v>
      </c>
      <c r="M16" s="6" t="s">
        <v>91</v>
      </c>
      <c r="N16" s="6" t="s">
        <v>113</v>
      </c>
      <c r="O16" s="6" t="s">
        <v>114</v>
      </c>
      <c r="P16" s="6" t="s">
        <v>94</v>
      </c>
      <c r="Q16" s="6" t="s">
        <v>116</v>
      </c>
      <c r="R16" s="6" t="s">
        <v>116</v>
      </c>
      <c r="S16" s="6" t="s">
        <v>116</v>
      </c>
      <c r="T16" s="6" t="s">
        <v>95</v>
      </c>
      <c r="U16" s="6" t="s">
        <v>95</v>
      </c>
      <c r="V16" s="6" t="s">
        <v>116</v>
      </c>
      <c r="W16" s="6" t="s">
        <v>116</v>
      </c>
      <c r="X16" s="6" t="s">
        <v>116</v>
      </c>
      <c r="Y16" s="6" t="s">
        <v>95</v>
      </c>
      <c r="Z16" s="6" t="s">
        <v>95</v>
      </c>
      <c r="AA16" s="6" t="s">
        <v>104</v>
      </c>
      <c r="AB16" s="6" t="s">
        <v>116</v>
      </c>
      <c r="AC16" s="6" t="s">
        <v>95</v>
      </c>
      <c r="AD16" s="6" t="s">
        <v>95</v>
      </c>
      <c r="AE16" s="6" t="s">
        <v>95</v>
      </c>
      <c r="AF16" s="6" t="s">
        <v>95</v>
      </c>
      <c r="AG16" s="6" t="s">
        <v>95</v>
      </c>
      <c r="AH16" s="6" t="s">
        <v>95</v>
      </c>
      <c r="AI16" s="6" t="s">
        <v>116</v>
      </c>
      <c r="AJ16" s="6" t="s">
        <v>116</v>
      </c>
      <c r="AK16" s="6" t="s">
        <v>95</v>
      </c>
      <c r="AL16" s="6" t="s">
        <v>95</v>
      </c>
      <c r="AM16" s="6" t="s">
        <v>116</v>
      </c>
      <c r="AN16" s="6" t="s">
        <v>116</v>
      </c>
      <c r="AO16" s="6">
        <v>1</v>
      </c>
      <c r="AP16" s="6"/>
    </row>
    <row r="17" spans="1:42" x14ac:dyDescent="0.45">
      <c r="A17" s="6" t="s">
        <v>138</v>
      </c>
      <c r="B17" s="6">
        <v>17</v>
      </c>
      <c r="C17" s="7">
        <v>46315.532437766196</v>
      </c>
      <c r="D17" s="6" t="s">
        <v>107</v>
      </c>
      <c r="E17" s="6">
        <v>0</v>
      </c>
      <c r="F17" s="6"/>
      <c r="G17" s="6"/>
      <c r="H17" s="6" t="s">
        <v>110</v>
      </c>
      <c r="I17" s="6" t="s">
        <v>89</v>
      </c>
      <c r="J17" s="6">
        <v>52</v>
      </c>
      <c r="K17" s="6">
        <v>25</v>
      </c>
      <c r="L17" s="6" t="s">
        <v>111</v>
      </c>
      <c r="M17" s="6" t="s">
        <v>91</v>
      </c>
      <c r="N17" s="6" t="s">
        <v>92</v>
      </c>
      <c r="O17" s="6" t="s">
        <v>114</v>
      </c>
      <c r="P17" s="6" t="s">
        <v>103</v>
      </c>
      <c r="Q17" s="6" t="s">
        <v>116</v>
      </c>
      <c r="R17" s="6" t="s">
        <v>116</v>
      </c>
      <c r="S17" s="6" t="s">
        <v>95</v>
      </c>
      <c r="T17" s="6" t="s">
        <v>116</v>
      </c>
      <c r="U17" s="6" t="s">
        <v>116</v>
      </c>
      <c r="V17" s="6" t="s">
        <v>116</v>
      </c>
      <c r="W17" s="6" t="s">
        <v>116</v>
      </c>
      <c r="X17" s="6" t="s">
        <v>116</v>
      </c>
      <c r="Y17" s="6" t="s">
        <v>115</v>
      </c>
      <c r="Z17" s="6" t="s">
        <v>115</v>
      </c>
      <c r="AA17" s="6" t="s">
        <v>116</v>
      </c>
      <c r="AB17" s="6" t="s">
        <v>139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>
        <v>1</v>
      </c>
      <c r="AP17" s="6"/>
    </row>
    <row r="18" spans="1:42" x14ac:dyDescent="0.45">
      <c r="A18" s="6" t="s">
        <v>140</v>
      </c>
      <c r="B18" s="6">
        <v>18</v>
      </c>
      <c r="C18" s="7">
        <v>46315.534039675927</v>
      </c>
      <c r="D18" s="6" t="s">
        <v>85</v>
      </c>
      <c r="E18" s="6">
        <v>1</v>
      </c>
      <c r="F18" s="6"/>
      <c r="G18" s="6"/>
      <c r="H18" s="6" t="s">
        <v>88</v>
      </c>
      <c r="I18" s="6" t="s">
        <v>89</v>
      </c>
      <c r="J18" s="6">
        <v>54</v>
      </c>
      <c r="K18" s="6">
        <v>20</v>
      </c>
      <c r="L18" s="6" t="s">
        <v>90</v>
      </c>
      <c r="M18" s="6" t="s">
        <v>125</v>
      </c>
      <c r="N18" s="6" t="s">
        <v>131</v>
      </c>
      <c r="O18" s="6" t="s">
        <v>93</v>
      </c>
      <c r="P18" s="6" t="s">
        <v>94</v>
      </c>
      <c r="Q18" s="6" t="s">
        <v>95</v>
      </c>
      <c r="R18" s="6" t="s">
        <v>116</v>
      </c>
      <c r="S18" s="6" t="s">
        <v>116</v>
      </c>
      <c r="T18" s="6" t="s">
        <v>116</v>
      </c>
      <c r="U18" s="6" t="s">
        <v>116</v>
      </c>
      <c r="V18" s="6" t="s">
        <v>116</v>
      </c>
      <c r="W18" s="6" t="s">
        <v>116</v>
      </c>
      <c r="X18" s="6" t="s">
        <v>116</v>
      </c>
      <c r="Y18" s="6" t="s">
        <v>115</v>
      </c>
      <c r="Z18" s="6" t="s">
        <v>115</v>
      </c>
      <c r="AA18" s="6" t="s">
        <v>115</v>
      </c>
      <c r="AB18" s="6" t="s">
        <v>115</v>
      </c>
      <c r="AC18" s="6" t="s">
        <v>95</v>
      </c>
      <c r="AD18" s="6" t="s">
        <v>116</v>
      </c>
      <c r="AE18" s="6" t="s">
        <v>116</v>
      </c>
      <c r="AF18" s="6" t="s">
        <v>116</v>
      </c>
      <c r="AG18" s="6" t="s">
        <v>95</v>
      </c>
      <c r="AH18" s="6" t="s">
        <v>95</v>
      </c>
      <c r="AI18" s="6" t="s">
        <v>116</v>
      </c>
      <c r="AJ18" s="6" t="s">
        <v>95</v>
      </c>
      <c r="AK18" s="6" t="s">
        <v>116</v>
      </c>
      <c r="AL18" s="6" t="s">
        <v>116</v>
      </c>
      <c r="AM18" s="6" t="s">
        <v>116</v>
      </c>
      <c r="AN18" s="6" t="s">
        <v>116</v>
      </c>
      <c r="AO18" s="6">
        <v>1</v>
      </c>
      <c r="AP18" s="6"/>
    </row>
    <row r="19" spans="1:42" x14ac:dyDescent="0.45">
      <c r="A19" s="6" t="s">
        <v>141</v>
      </c>
      <c r="B19" s="6">
        <v>19</v>
      </c>
      <c r="C19" s="7">
        <v>46315.535459837964</v>
      </c>
      <c r="D19" s="6" t="s">
        <v>107</v>
      </c>
      <c r="E19" s="6">
        <v>0</v>
      </c>
      <c r="F19" s="6"/>
      <c r="G19" s="6"/>
      <c r="H19" s="6" t="s">
        <v>110</v>
      </c>
      <c r="I19" s="6" t="s">
        <v>89</v>
      </c>
      <c r="J19" s="6">
        <v>28</v>
      </c>
      <c r="K19" s="6">
        <v>3</v>
      </c>
      <c r="L19" s="6" t="s">
        <v>124</v>
      </c>
      <c r="M19" s="6" t="s">
        <v>125</v>
      </c>
      <c r="N19" s="6" t="s">
        <v>113</v>
      </c>
      <c r="O19" s="6" t="s">
        <v>114</v>
      </c>
      <c r="P19" s="6" t="s">
        <v>94</v>
      </c>
      <c r="Q19" s="6" t="s">
        <v>95</v>
      </c>
      <c r="R19" s="6" t="s">
        <v>95</v>
      </c>
      <c r="S19" s="6" t="s">
        <v>115</v>
      </c>
      <c r="T19" s="6" t="s">
        <v>115</v>
      </c>
      <c r="U19" s="6" t="s">
        <v>115</v>
      </c>
      <c r="V19" s="6" t="s">
        <v>139</v>
      </c>
      <c r="W19" s="6" t="s">
        <v>115</v>
      </c>
      <c r="X19" s="6" t="s">
        <v>116</v>
      </c>
      <c r="Y19" s="6" t="s">
        <v>139</v>
      </c>
      <c r="Z19" s="6" t="s">
        <v>139</v>
      </c>
      <c r="AA19" s="6" t="s">
        <v>139</v>
      </c>
      <c r="AB19" s="6" t="s">
        <v>139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>
        <v>1</v>
      </c>
      <c r="AP19" s="6"/>
    </row>
    <row r="20" spans="1:42" x14ac:dyDescent="0.45">
      <c r="A20" s="6" t="s">
        <v>142</v>
      </c>
      <c r="B20" s="6">
        <v>20</v>
      </c>
      <c r="C20" s="7">
        <v>46315.53549278935</v>
      </c>
      <c r="D20" s="6" t="s">
        <v>85</v>
      </c>
      <c r="E20" s="6">
        <v>1</v>
      </c>
      <c r="F20" s="6"/>
      <c r="G20" s="6"/>
      <c r="H20" s="6" t="s">
        <v>88</v>
      </c>
      <c r="I20" s="6" t="s">
        <v>89</v>
      </c>
      <c r="J20" s="6">
        <v>34</v>
      </c>
      <c r="K20" s="6">
        <v>2</v>
      </c>
      <c r="L20" s="6" t="s">
        <v>90</v>
      </c>
      <c r="M20" s="6" t="s">
        <v>112</v>
      </c>
      <c r="N20" s="6" t="s">
        <v>113</v>
      </c>
      <c r="O20" s="6" t="s">
        <v>102</v>
      </c>
      <c r="P20" s="6" t="s">
        <v>94</v>
      </c>
      <c r="Q20" s="6" t="s">
        <v>95</v>
      </c>
      <c r="R20" s="6" t="s">
        <v>116</v>
      </c>
      <c r="S20" s="6" t="s">
        <v>116</v>
      </c>
      <c r="T20" s="6" t="s">
        <v>116</v>
      </c>
      <c r="U20" s="6" t="s">
        <v>95</v>
      </c>
      <c r="V20" s="6" t="s">
        <v>95</v>
      </c>
      <c r="W20" s="6" t="s">
        <v>116</v>
      </c>
      <c r="X20" s="6" t="s">
        <v>116</v>
      </c>
      <c r="Y20" s="6" t="s">
        <v>95</v>
      </c>
      <c r="Z20" s="6" t="s">
        <v>95</v>
      </c>
      <c r="AA20" s="6" t="s">
        <v>95</v>
      </c>
      <c r="AB20" s="6" t="s">
        <v>95</v>
      </c>
      <c r="AC20" s="6" t="s">
        <v>95</v>
      </c>
      <c r="AD20" s="6" t="s">
        <v>116</v>
      </c>
      <c r="AE20" s="6" t="s">
        <v>95</v>
      </c>
      <c r="AF20" s="6" t="s">
        <v>95</v>
      </c>
      <c r="AG20" s="6" t="s">
        <v>115</v>
      </c>
      <c r="AH20" s="6" t="s">
        <v>95</v>
      </c>
      <c r="AI20" s="6" t="s">
        <v>116</v>
      </c>
      <c r="AJ20" s="6" t="s">
        <v>95</v>
      </c>
      <c r="AK20" s="6" t="s">
        <v>116</v>
      </c>
      <c r="AL20" s="6" t="s">
        <v>116</v>
      </c>
      <c r="AM20" s="6" t="s">
        <v>116</v>
      </c>
      <c r="AN20" s="6" t="s">
        <v>95</v>
      </c>
      <c r="AO20" s="6">
        <v>1</v>
      </c>
      <c r="AP20" s="6"/>
    </row>
    <row r="21" spans="1:42" x14ac:dyDescent="0.45">
      <c r="A21" s="6" t="s">
        <v>143</v>
      </c>
      <c r="B21" s="6">
        <v>21</v>
      </c>
      <c r="C21" s="7">
        <v>46315.537329050923</v>
      </c>
      <c r="D21" s="6" t="s">
        <v>107</v>
      </c>
      <c r="E21" s="6">
        <v>0</v>
      </c>
      <c r="F21" s="6"/>
      <c r="G21" s="6"/>
      <c r="H21" s="6" t="s">
        <v>110</v>
      </c>
      <c r="I21" s="6" t="s">
        <v>89</v>
      </c>
      <c r="J21" s="6">
        <v>65</v>
      </c>
      <c r="K21" s="6">
        <v>45</v>
      </c>
      <c r="L21" s="6" t="s">
        <v>111</v>
      </c>
      <c r="M21" s="6" t="s">
        <v>112</v>
      </c>
      <c r="N21" s="6" t="s">
        <v>144</v>
      </c>
      <c r="O21" s="6" t="s">
        <v>102</v>
      </c>
      <c r="P21" s="6" t="s">
        <v>103</v>
      </c>
      <c r="Q21" s="6" t="s">
        <v>104</v>
      </c>
      <c r="R21" s="6" t="s">
        <v>104</v>
      </c>
      <c r="S21" s="6" t="s">
        <v>104</v>
      </c>
      <c r="T21" s="6" t="s">
        <v>104</v>
      </c>
      <c r="U21" s="6" t="s">
        <v>104</v>
      </c>
      <c r="V21" s="6" t="s">
        <v>104</v>
      </c>
      <c r="W21" s="6" t="s">
        <v>104</v>
      </c>
      <c r="X21" s="6" t="s">
        <v>104</v>
      </c>
      <c r="Y21" s="6" t="s">
        <v>139</v>
      </c>
      <c r="Z21" s="6" t="s">
        <v>139</v>
      </c>
      <c r="AA21" s="6" t="s">
        <v>139</v>
      </c>
      <c r="AB21" s="6" t="s">
        <v>139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>
        <v>1</v>
      </c>
      <c r="AP21" s="6"/>
    </row>
    <row r="22" spans="1:42" x14ac:dyDescent="0.45">
      <c r="A22" s="6" t="s">
        <v>145</v>
      </c>
      <c r="B22" s="6">
        <v>22</v>
      </c>
      <c r="C22" s="7">
        <v>46315.537547824068</v>
      </c>
      <c r="D22" s="6" t="s">
        <v>85</v>
      </c>
      <c r="E22" s="6">
        <v>1</v>
      </c>
      <c r="F22" s="6"/>
      <c r="G22" s="6"/>
      <c r="H22" s="6" t="s">
        <v>110</v>
      </c>
      <c r="I22" s="6" t="s">
        <v>89</v>
      </c>
      <c r="J22" s="6">
        <v>66</v>
      </c>
      <c r="K22" s="6">
        <v>33</v>
      </c>
      <c r="L22" s="6" t="s">
        <v>111</v>
      </c>
      <c r="M22" s="6" t="s">
        <v>100</v>
      </c>
      <c r="N22" s="6" t="s">
        <v>113</v>
      </c>
      <c r="O22" s="6" t="s">
        <v>102</v>
      </c>
      <c r="P22" s="6" t="s">
        <v>103</v>
      </c>
      <c r="Q22" s="6" t="s">
        <v>104</v>
      </c>
      <c r="R22" s="6" t="s">
        <v>104</v>
      </c>
      <c r="S22" s="6" t="s">
        <v>116</v>
      </c>
      <c r="T22" s="6" t="s">
        <v>116</v>
      </c>
      <c r="U22" s="6" t="s">
        <v>104</v>
      </c>
      <c r="V22" s="6" t="s">
        <v>116</v>
      </c>
      <c r="W22" s="6" t="s">
        <v>104</v>
      </c>
      <c r="X22" s="6" t="s">
        <v>104</v>
      </c>
      <c r="Y22" s="6" t="s">
        <v>104</v>
      </c>
      <c r="Z22" s="6" t="s">
        <v>104</v>
      </c>
      <c r="AA22" s="6" t="s">
        <v>104</v>
      </c>
      <c r="AB22" s="6" t="s">
        <v>104</v>
      </c>
      <c r="AC22" s="6" t="s">
        <v>139</v>
      </c>
      <c r="AD22" s="6" t="s">
        <v>115</v>
      </c>
      <c r="AE22" s="6" t="s">
        <v>116</v>
      </c>
      <c r="AF22" s="6" t="s">
        <v>116</v>
      </c>
      <c r="AG22" s="6" t="s">
        <v>104</v>
      </c>
      <c r="AH22" s="6" t="s">
        <v>104</v>
      </c>
      <c r="AI22" s="6" t="s">
        <v>104</v>
      </c>
      <c r="AJ22" s="6" t="s">
        <v>104</v>
      </c>
      <c r="AK22" s="6" t="s">
        <v>104</v>
      </c>
      <c r="AL22" s="6" t="s">
        <v>104</v>
      </c>
      <c r="AM22" s="6" t="s">
        <v>104</v>
      </c>
      <c r="AN22" s="6" t="s">
        <v>104</v>
      </c>
      <c r="AO22" s="6">
        <v>1</v>
      </c>
      <c r="AP22" s="6"/>
    </row>
    <row r="23" spans="1:42" x14ac:dyDescent="0.45">
      <c r="A23" s="6" t="s">
        <v>146</v>
      </c>
      <c r="B23" s="6">
        <v>23</v>
      </c>
      <c r="C23" s="7">
        <v>46315.538526331024</v>
      </c>
      <c r="D23" s="6" t="s">
        <v>107</v>
      </c>
      <c r="E23" s="6">
        <v>0</v>
      </c>
      <c r="F23" s="6"/>
      <c r="G23" s="6"/>
      <c r="H23" s="6" t="s">
        <v>110</v>
      </c>
      <c r="I23" s="6" t="s">
        <v>89</v>
      </c>
      <c r="J23" s="6">
        <v>56</v>
      </c>
      <c r="K23" s="6">
        <v>30</v>
      </c>
      <c r="L23" s="6" t="s">
        <v>111</v>
      </c>
      <c r="M23" s="6" t="s">
        <v>112</v>
      </c>
      <c r="N23" s="6" t="s">
        <v>113</v>
      </c>
      <c r="O23" s="6" t="s">
        <v>114</v>
      </c>
      <c r="P23" s="6" t="s">
        <v>94</v>
      </c>
      <c r="Q23" s="6" t="s">
        <v>116</v>
      </c>
      <c r="R23" s="6" t="s">
        <v>104</v>
      </c>
      <c r="S23" s="6" t="s">
        <v>95</v>
      </c>
      <c r="T23" s="6" t="s">
        <v>95</v>
      </c>
      <c r="U23" s="6" t="s">
        <v>95</v>
      </c>
      <c r="V23" s="6" t="s">
        <v>95</v>
      </c>
      <c r="W23" s="6" t="s">
        <v>116</v>
      </c>
      <c r="X23" s="6" t="s">
        <v>116</v>
      </c>
      <c r="Y23" s="6" t="s">
        <v>95</v>
      </c>
      <c r="Z23" s="6" t="s">
        <v>115</v>
      </c>
      <c r="AA23" s="6" t="s">
        <v>115</v>
      </c>
      <c r="AB23" s="6" t="s">
        <v>95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>
        <v>1</v>
      </c>
      <c r="AP23" s="6"/>
    </row>
    <row r="24" spans="1:42" x14ac:dyDescent="0.45">
      <c r="A24" s="6" t="s">
        <v>147</v>
      </c>
      <c r="B24" s="6">
        <v>24</v>
      </c>
      <c r="C24" s="7">
        <v>46315.539966689823</v>
      </c>
      <c r="D24" s="6" t="s">
        <v>107</v>
      </c>
      <c r="E24" s="6">
        <v>0</v>
      </c>
      <c r="F24" s="6"/>
      <c r="G24" s="6"/>
      <c r="H24" s="6" t="s">
        <v>110</v>
      </c>
      <c r="I24" s="6" t="s">
        <v>89</v>
      </c>
      <c r="J24" s="6">
        <v>63</v>
      </c>
      <c r="K24" s="6">
        <v>33</v>
      </c>
      <c r="L24" s="6" t="s">
        <v>124</v>
      </c>
      <c r="M24" s="6" t="s">
        <v>125</v>
      </c>
      <c r="N24" s="6" t="s">
        <v>113</v>
      </c>
      <c r="O24" s="6" t="s">
        <v>102</v>
      </c>
      <c r="P24" s="6" t="s">
        <v>129</v>
      </c>
      <c r="Q24" s="6" t="s">
        <v>95</v>
      </c>
      <c r="R24" s="6" t="s">
        <v>116</v>
      </c>
      <c r="S24" s="6" t="s">
        <v>115</v>
      </c>
      <c r="T24" s="6" t="s">
        <v>115</v>
      </c>
      <c r="U24" s="6" t="s">
        <v>95</v>
      </c>
      <c r="V24" s="6" t="s">
        <v>95</v>
      </c>
      <c r="W24" s="6" t="s">
        <v>95</v>
      </c>
      <c r="X24" s="6" t="s">
        <v>95</v>
      </c>
      <c r="Y24" s="6" t="s">
        <v>116</v>
      </c>
      <c r="Z24" s="6" t="s">
        <v>116</v>
      </c>
      <c r="AA24" s="6" t="s">
        <v>116</v>
      </c>
      <c r="AB24" s="6" t="s">
        <v>116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>
        <v>1</v>
      </c>
      <c r="AP24" s="6"/>
    </row>
    <row r="25" spans="1:42" x14ac:dyDescent="0.45">
      <c r="A25" s="6" t="s">
        <v>148</v>
      </c>
      <c r="B25" s="6">
        <v>25</v>
      </c>
      <c r="C25" s="7">
        <v>46315.541383888893</v>
      </c>
      <c r="D25" s="6" t="s">
        <v>85</v>
      </c>
      <c r="E25" s="6">
        <v>1</v>
      </c>
      <c r="F25" s="6"/>
      <c r="G25" s="6"/>
      <c r="H25" s="6" t="s">
        <v>110</v>
      </c>
      <c r="I25" s="6" t="s">
        <v>89</v>
      </c>
      <c r="J25" s="6">
        <v>64</v>
      </c>
      <c r="K25" s="6">
        <v>1</v>
      </c>
      <c r="L25" s="6" t="s">
        <v>111</v>
      </c>
      <c r="M25" s="6" t="s">
        <v>91</v>
      </c>
      <c r="N25" s="6" t="s">
        <v>149</v>
      </c>
      <c r="O25" s="6" t="s">
        <v>114</v>
      </c>
      <c r="P25" s="6" t="s">
        <v>103</v>
      </c>
      <c r="Q25" s="6" t="s">
        <v>104</v>
      </c>
      <c r="R25" s="6" t="s">
        <v>104</v>
      </c>
      <c r="S25" s="6" t="s">
        <v>104</v>
      </c>
      <c r="T25" s="6" t="s">
        <v>104</v>
      </c>
      <c r="U25" s="6" t="s">
        <v>104</v>
      </c>
      <c r="V25" s="6" t="s">
        <v>104</v>
      </c>
      <c r="W25" s="6" t="s">
        <v>104</v>
      </c>
      <c r="X25" s="6" t="s">
        <v>104</v>
      </c>
      <c r="Y25" s="6" t="s">
        <v>95</v>
      </c>
      <c r="Z25" s="6" t="s">
        <v>139</v>
      </c>
      <c r="AA25" s="6" t="s">
        <v>139</v>
      </c>
      <c r="AB25" s="6" t="s">
        <v>139</v>
      </c>
      <c r="AC25" s="6" t="s">
        <v>104</v>
      </c>
      <c r="AD25" s="6" t="s">
        <v>104</v>
      </c>
      <c r="AE25" s="6" t="s">
        <v>104</v>
      </c>
      <c r="AF25" s="6" t="s">
        <v>139</v>
      </c>
      <c r="AG25" s="6" t="s">
        <v>115</v>
      </c>
      <c r="AH25" s="6" t="s">
        <v>95</v>
      </c>
      <c r="AI25" s="6" t="s">
        <v>104</v>
      </c>
      <c r="AJ25" s="6" t="s">
        <v>104</v>
      </c>
      <c r="AK25" s="6" t="s">
        <v>139</v>
      </c>
      <c r="AL25" s="6" t="s">
        <v>139</v>
      </c>
      <c r="AM25" s="6" t="s">
        <v>104</v>
      </c>
      <c r="AN25" s="6" t="s">
        <v>139</v>
      </c>
      <c r="AO25" s="6">
        <v>1</v>
      </c>
      <c r="AP25" s="6"/>
    </row>
    <row r="26" spans="1:42" x14ac:dyDescent="0.45">
      <c r="A26" s="6" t="s">
        <v>150</v>
      </c>
      <c r="B26" s="6">
        <v>26</v>
      </c>
      <c r="C26" s="7">
        <v>46315.542185706021</v>
      </c>
      <c r="D26" s="6" t="s">
        <v>107</v>
      </c>
      <c r="E26" s="6">
        <v>0</v>
      </c>
      <c r="F26" s="6"/>
      <c r="G26" s="6"/>
      <c r="H26" s="6" t="s">
        <v>110</v>
      </c>
      <c r="I26" s="6" t="s">
        <v>89</v>
      </c>
      <c r="J26" s="6">
        <v>48</v>
      </c>
      <c r="K26" s="6">
        <v>25</v>
      </c>
      <c r="L26" s="6" t="s">
        <v>111</v>
      </c>
      <c r="M26" s="6" t="s">
        <v>125</v>
      </c>
      <c r="N26" s="6" t="s">
        <v>92</v>
      </c>
      <c r="O26" s="6" t="s">
        <v>93</v>
      </c>
      <c r="P26" s="6" t="s">
        <v>103</v>
      </c>
      <c r="Q26" s="6" t="s">
        <v>104</v>
      </c>
      <c r="R26" s="6" t="s">
        <v>104</v>
      </c>
      <c r="S26" s="6" t="s">
        <v>104</v>
      </c>
      <c r="T26" s="6" t="s">
        <v>104</v>
      </c>
      <c r="U26" s="6" t="s">
        <v>104</v>
      </c>
      <c r="V26" s="6" t="s">
        <v>104</v>
      </c>
      <c r="W26" s="6" t="s">
        <v>104</v>
      </c>
      <c r="X26" s="6" t="s">
        <v>104</v>
      </c>
      <c r="Y26" s="6" t="s">
        <v>115</v>
      </c>
      <c r="Z26" s="6" t="s">
        <v>116</v>
      </c>
      <c r="AA26" s="6" t="s">
        <v>115</v>
      </c>
      <c r="AB26" s="6" t="s">
        <v>115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>
        <v>1</v>
      </c>
      <c r="AP26" s="6"/>
    </row>
    <row r="27" spans="1:42" x14ac:dyDescent="0.45">
      <c r="A27" s="6" t="s">
        <v>151</v>
      </c>
      <c r="B27" s="6">
        <v>27</v>
      </c>
      <c r="C27" s="7">
        <v>46315.543732256941</v>
      </c>
      <c r="D27" s="6" t="s">
        <v>85</v>
      </c>
      <c r="E27" s="6">
        <v>1</v>
      </c>
      <c r="F27" s="6"/>
      <c r="G27" s="6"/>
      <c r="H27" s="6" t="s">
        <v>88</v>
      </c>
      <c r="I27" s="6" t="s">
        <v>89</v>
      </c>
      <c r="J27" s="6">
        <v>45</v>
      </c>
      <c r="K27" s="6">
        <v>12</v>
      </c>
      <c r="L27" s="6" t="s">
        <v>90</v>
      </c>
      <c r="M27" s="6" t="s">
        <v>91</v>
      </c>
      <c r="N27" s="6" t="s">
        <v>92</v>
      </c>
      <c r="O27" s="6" t="s">
        <v>114</v>
      </c>
      <c r="P27" s="6" t="s">
        <v>94</v>
      </c>
      <c r="Q27" s="6" t="s">
        <v>104</v>
      </c>
      <c r="R27" s="6" t="s">
        <v>104</v>
      </c>
      <c r="S27" s="6" t="s">
        <v>104</v>
      </c>
      <c r="T27" s="6" t="s">
        <v>104</v>
      </c>
      <c r="U27" s="6" t="s">
        <v>104</v>
      </c>
      <c r="V27" s="6" t="s">
        <v>104</v>
      </c>
      <c r="W27" s="6" t="s">
        <v>104</v>
      </c>
      <c r="X27" s="6" t="s">
        <v>104</v>
      </c>
      <c r="Y27" s="6" t="s">
        <v>115</v>
      </c>
      <c r="Z27" s="6" t="s">
        <v>115</v>
      </c>
      <c r="AA27" s="6" t="s">
        <v>115</v>
      </c>
      <c r="AB27" s="6" t="s">
        <v>104</v>
      </c>
      <c r="AC27" s="6" t="s">
        <v>104</v>
      </c>
      <c r="AD27" s="6" t="s">
        <v>104</v>
      </c>
      <c r="AE27" s="6" t="s">
        <v>104</v>
      </c>
      <c r="AF27" s="6" t="s">
        <v>104</v>
      </c>
      <c r="AG27" s="6" t="s">
        <v>104</v>
      </c>
      <c r="AH27" s="6" t="s">
        <v>104</v>
      </c>
      <c r="AI27" s="6" t="s">
        <v>104</v>
      </c>
      <c r="AJ27" s="6" t="s">
        <v>104</v>
      </c>
      <c r="AK27" s="6" t="s">
        <v>104</v>
      </c>
      <c r="AL27" s="6" t="s">
        <v>104</v>
      </c>
      <c r="AM27" s="6" t="s">
        <v>104</v>
      </c>
      <c r="AN27" s="6" t="s">
        <v>104</v>
      </c>
      <c r="AO27" s="6">
        <v>1</v>
      </c>
      <c r="AP27" s="6"/>
    </row>
    <row r="28" spans="1:42" x14ac:dyDescent="0.45">
      <c r="A28" s="6" t="s">
        <v>152</v>
      </c>
      <c r="B28" s="6">
        <v>28</v>
      </c>
      <c r="C28" s="7">
        <v>46315.544333877318</v>
      </c>
      <c r="D28" s="6" t="s">
        <v>107</v>
      </c>
      <c r="E28" s="6">
        <v>0</v>
      </c>
      <c r="F28" s="6"/>
      <c r="G28" s="6"/>
      <c r="H28" s="6" t="s">
        <v>88</v>
      </c>
      <c r="I28" s="6" t="s">
        <v>89</v>
      </c>
      <c r="J28" s="6">
        <v>39</v>
      </c>
      <c r="K28" s="6">
        <v>15</v>
      </c>
      <c r="L28" s="6" t="s">
        <v>90</v>
      </c>
      <c r="M28" s="6" t="s">
        <v>100</v>
      </c>
      <c r="N28" s="6" t="s">
        <v>101</v>
      </c>
      <c r="O28" s="6" t="s">
        <v>114</v>
      </c>
      <c r="P28" s="6" t="s">
        <v>94</v>
      </c>
      <c r="Q28" s="6" t="s">
        <v>115</v>
      </c>
      <c r="R28" s="6" t="s">
        <v>95</v>
      </c>
      <c r="S28" s="6" t="s">
        <v>139</v>
      </c>
      <c r="T28" s="6" t="s">
        <v>115</v>
      </c>
      <c r="U28" s="6" t="s">
        <v>115</v>
      </c>
      <c r="V28" s="6" t="s">
        <v>139</v>
      </c>
      <c r="W28" s="6" t="s">
        <v>115</v>
      </c>
      <c r="X28" s="6" t="s">
        <v>115</v>
      </c>
      <c r="Y28" s="6" t="s">
        <v>104</v>
      </c>
      <c r="Z28" s="6" t="s">
        <v>116</v>
      </c>
      <c r="AA28" s="6" t="s">
        <v>116</v>
      </c>
      <c r="AB28" s="6" t="s">
        <v>116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>
        <v>1</v>
      </c>
      <c r="AP28" s="6"/>
    </row>
    <row r="29" spans="1:42" x14ac:dyDescent="0.45">
      <c r="A29" s="6" t="s">
        <v>153</v>
      </c>
      <c r="B29" s="6">
        <v>29</v>
      </c>
      <c r="C29" s="7">
        <v>46315.547103495373</v>
      </c>
      <c r="D29" s="6" t="s">
        <v>85</v>
      </c>
      <c r="E29" s="6">
        <v>1</v>
      </c>
      <c r="F29" s="6"/>
      <c r="G29" s="6"/>
      <c r="H29" s="6" t="s">
        <v>110</v>
      </c>
      <c r="I29" s="6" t="s">
        <v>89</v>
      </c>
      <c r="J29" s="6">
        <v>37</v>
      </c>
      <c r="K29" s="6">
        <v>11</v>
      </c>
      <c r="L29" s="6" t="s">
        <v>124</v>
      </c>
      <c r="M29" s="6" t="s">
        <v>125</v>
      </c>
      <c r="N29" s="6" t="s">
        <v>131</v>
      </c>
      <c r="O29" s="6" t="s">
        <v>102</v>
      </c>
      <c r="P29" s="6" t="s">
        <v>94</v>
      </c>
      <c r="Q29" s="6" t="s">
        <v>116</v>
      </c>
      <c r="R29" s="6" t="s">
        <v>116</v>
      </c>
      <c r="S29" s="6" t="s">
        <v>116</v>
      </c>
      <c r="T29" s="6" t="s">
        <v>95</v>
      </c>
      <c r="U29" s="6" t="s">
        <v>95</v>
      </c>
      <c r="V29" s="6" t="s">
        <v>95</v>
      </c>
      <c r="W29" s="6" t="s">
        <v>104</v>
      </c>
      <c r="X29" s="6" t="s">
        <v>104</v>
      </c>
      <c r="Y29" s="6" t="s">
        <v>95</v>
      </c>
      <c r="Z29" s="6" t="s">
        <v>95</v>
      </c>
      <c r="AA29" s="6" t="s">
        <v>116</v>
      </c>
      <c r="AB29" s="6" t="s">
        <v>104</v>
      </c>
      <c r="AC29" s="6" t="s">
        <v>95</v>
      </c>
      <c r="AD29" s="6" t="s">
        <v>115</v>
      </c>
      <c r="AE29" s="6" t="s">
        <v>95</v>
      </c>
      <c r="AF29" s="6" t="s">
        <v>115</v>
      </c>
      <c r="AG29" s="6" t="s">
        <v>95</v>
      </c>
      <c r="AH29" s="6" t="s">
        <v>95</v>
      </c>
      <c r="AI29" s="6" t="s">
        <v>115</v>
      </c>
      <c r="AJ29" s="6" t="s">
        <v>95</v>
      </c>
      <c r="AK29" s="6" t="s">
        <v>95</v>
      </c>
      <c r="AL29" s="6" t="s">
        <v>95</v>
      </c>
      <c r="AM29" s="6" t="s">
        <v>116</v>
      </c>
      <c r="AN29" s="6" t="s">
        <v>95</v>
      </c>
      <c r="AO29" s="6">
        <v>1</v>
      </c>
      <c r="AP29" s="6"/>
    </row>
    <row r="30" spans="1:42" x14ac:dyDescent="0.45">
      <c r="A30" s="6" t="s">
        <v>154</v>
      </c>
      <c r="B30" s="6">
        <v>30</v>
      </c>
      <c r="C30" s="7">
        <v>46315.547713738422</v>
      </c>
      <c r="D30" s="6" t="s">
        <v>107</v>
      </c>
      <c r="E30" s="6">
        <v>0</v>
      </c>
      <c r="F30" s="6"/>
      <c r="G30" s="6"/>
      <c r="H30" s="6" t="s">
        <v>110</v>
      </c>
      <c r="I30" s="6" t="s">
        <v>89</v>
      </c>
      <c r="J30" s="6">
        <v>32</v>
      </c>
      <c r="K30" s="6">
        <v>5</v>
      </c>
      <c r="L30" s="6" t="s">
        <v>124</v>
      </c>
      <c r="M30" s="6" t="s">
        <v>125</v>
      </c>
      <c r="N30" s="6" t="s">
        <v>92</v>
      </c>
      <c r="O30" s="6" t="s">
        <v>114</v>
      </c>
      <c r="P30" s="6" t="s">
        <v>103</v>
      </c>
      <c r="Q30" s="6" t="s">
        <v>116</v>
      </c>
      <c r="R30" s="6" t="s">
        <v>116</v>
      </c>
      <c r="S30" s="6" t="s">
        <v>95</v>
      </c>
      <c r="T30" s="6" t="s">
        <v>116</v>
      </c>
      <c r="U30" s="6" t="s">
        <v>116</v>
      </c>
      <c r="V30" s="6" t="s">
        <v>104</v>
      </c>
      <c r="W30" s="6" t="s">
        <v>104</v>
      </c>
      <c r="X30" s="6" t="s">
        <v>104</v>
      </c>
      <c r="Y30" s="6" t="s">
        <v>116</v>
      </c>
      <c r="Z30" s="6" t="s">
        <v>116</v>
      </c>
      <c r="AA30" s="6" t="s">
        <v>95</v>
      </c>
      <c r="AB30" s="6" t="s">
        <v>116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>
        <v>1</v>
      </c>
      <c r="AP30" s="6"/>
    </row>
    <row r="31" spans="1:42" x14ac:dyDescent="0.45">
      <c r="A31" s="6" t="s">
        <v>155</v>
      </c>
      <c r="B31" s="6">
        <v>31</v>
      </c>
      <c r="C31" s="7">
        <v>46315.548324328702</v>
      </c>
      <c r="D31" s="6" t="s">
        <v>107</v>
      </c>
      <c r="E31" s="6">
        <v>0</v>
      </c>
      <c r="F31" s="6"/>
      <c r="G31" s="6"/>
      <c r="H31" s="6" t="s">
        <v>88</v>
      </c>
      <c r="I31" s="6" t="s">
        <v>156</v>
      </c>
      <c r="J31" s="6">
        <v>24</v>
      </c>
      <c r="K31" s="6">
        <v>1</v>
      </c>
      <c r="L31" s="6" t="s">
        <v>157</v>
      </c>
      <c r="M31" s="6" t="s">
        <v>112</v>
      </c>
      <c r="N31" s="6" t="s">
        <v>113</v>
      </c>
      <c r="O31" s="6" t="s">
        <v>114</v>
      </c>
      <c r="P31" s="6" t="s">
        <v>94</v>
      </c>
      <c r="Q31" s="6" t="s">
        <v>116</v>
      </c>
      <c r="R31" s="6" t="s">
        <v>116</v>
      </c>
      <c r="S31" s="6" t="s">
        <v>116</v>
      </c>
      <c r="T31" s="6" t="s">
        <v>116</v>
      </c>
      <c r="U31" s="6" t="s">
        <v>116</v>
      </c>
      <c r="V31" s="6" t="s">
        <v>116</v>
      </c>
      <c r="W31" s="6" t="s">
        <v>116</v>
      </c>
      <c r="X31" s="6" t="s">
        <v>116</v>
      </c>
      <c r="Y31" s="6" t="s">
        <v>116</v>
      </c>
      <c r="Z31" s="6" t="s">
        <v>116</v>
      </c>
      <c r="AA31" s="6" t="s">
        <v>116</v>
      </c>
      <c r="AB31" s="6" t="s">
        <v>116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1</v>
      </c>
      <c r="AP31" s="6"/>
    </row>
    <row r="32" spans="1:42" x14ac:dyDescent="0.45">
      <c r="A32" s="6" t="s">
        <v>158</v>
      </c>
      <c r="B32" s="6">
        <v>32</v>
      </c>
      <c r="C32" s="7">
        <v>46315.548432546297</v>
      </c>
      <c r="D32" s="6" t="s">
        <v>85</v>
      </c>
      <c r="E32" s="6">
        <v>1</v>
      </c>
      <c r="F32" s="6"/>
      <c r="G32" s="6"/>
      <c r="H32" s="6" t="s">
        <v>88</v>
      </c>
      <c r="I32" s="6" t="s">
        <v>89</v>
      </c>
      <c r="J32" s="6">
        <v>30</v>
      </c>
      <c r="K32" s="6">
        <v>4</v>
      </c>
      <c r="L32" s="6" t="s">
        <v>90</v>
      </c>
      <c r="M32" s="6" t="s">
        <v>91</v>
      </c>
      <c r="N32" s="6" t="s">
        <v>113</v>
      </c>
      <c r="O32" s="6" t="s">
        <v>114</v>
      </c>
      <c r="P32" s="6" t="s">
        <v>129</v>
      </c>
      <c r="Q32" s="6" t="s">
        <v>116</v>
      </c>
      <c r="R32" s="6" t="s">
        <v>116</v>
      </c>
      <c r="S32" s="6" t="s">
        <v>116</v>
      </c>
      <c r="T32" s="6" t="s">
        <v>116</v>
      </c>
      <c r="U32" s="6" t="s">
        <v>116</v>
      </c>
      <c r="V32" s="6" t="s">
        <v>116</v>
      </c>
      <c r="W32" s="6" t="s">
        <v>116</v>
      </c>
      <c r="X32" s="6" t="s">
        <v>116</v>
      </c>
      <c r="Y32" s="6" t="s">
        <v>115</v>
      </c>
      <c r="Z32" s="6" t="s">
        <v>115</v>
      </c>
      <c r="AA32" s="6" t="s">
        <v>115</v>
      </c>
      <c r="AB32" s="6" t="s">
        <v>115</v>
      </c>
      <c r="AC32" s="6" t="s">
        <v>116</v>
      </c>
      <c r="AD32" s="6" t="s">
        <v>116</v>
      </c>
      <c r="AE32" s="6" t="s">
        <v>116</v>
      </c>
      <c r="AF32" s="6" t="s">
        <v>116</v>
      </c>
      <c r="AG32" s="6" t="s">
        <v>115</v>
      </c>
      <c r="AH32" s="6" t="s">
        <v>115</v>
      </c>
      <c r="AI32" s="6" t="s">
        <v>116</v>
      </c>
      <c r="AJ32" s="6" t="s">
        <v>95</v>
      </c>
      <c r="AK32" s="6" t="s">
        <v>139</v>
      </c>
      <c r="AL32" s="6" t="s">
        <v>115</v>
      </c>
      <c r="AM32" s="6" t="s">
        <v>104</v>
      </c>
      <c r="AN32" s="6" t="s">
        <v>95</v>
      </c>
      <c r="AO32" s="6">
        <v>1</v>
      </c>
      <c r="AP32" s="6"/>
    </row>
    <row r="33" spans="1:42" x14ac:dyDescent="0.45">
      <c r="A33" s="6" t="s">
        <v>159</v>
      </c>
      <c r="B33" s="6">
        <v>33</v>
      </c>
      <c r="C33" s="7">
        <v>46315.549154548607</v>
      </c>
      <c r="D33" s="6" t="s">
        <v>107</v>
      </c>
      <c r="E33" s="6">
        <v>0</v>
      </c>
      <c r="F33" s="6"/>
      <c r="G33" s="6"/>
      <c r="H33" s="6" t="s">
        <v>88</v>
      </c>
      <c r="I33" s="6" t="s">
        <v>89</v>
      </c>
      <c r="J33" s="6">
        <v>52</v>
      </c>
      <c r="K33" s="6">
        <v>28</v>
      </c>
      <c r="L33" s="6" t="s">
        <v>90</v>
      </c>
      <c r="M33" s="6" t="s">
        <v>125</v>
      </c>
      <c r="N33" s="6" t="s">
        <v>92</v>
      </c>
      <c r="O33" s="6" t="s">
        <v>135</v>
      </c>
      <c r="P33" s="6" t="s">
        <v>129</v>
      </c>
      <c r="Q33" s="6" t="s">
        <v>95</v>
      </c>
      <c r="R33" s="6" t="s">
        <v>95</v>
      </c>
      <c r="S33" s="6" t="s">
        <v>95</v>
      </c>
      <c r="T33" s="6" t="s">
        <v>95</v>
      </c>
      <c r="U33" s="6" t="s">
        <v>95</v>
      </c>
      <c r="V33" s="6" t="s">
        <v>95</v>
      </c>
      <c r="W33" s="6" t="s">
        <v>116</v>
      </c>
      <c r="X33" s="6" t="s">
        <v>95</v>
      </c>
      <c r="Y33" s="6" t="s">
        <v>104</v>
      </c>
      <c r="Z33" s="6" t="s">
        <v>116</v>
      </c>
      <c r="AA33" s="6" t="s">
        <v>104</v>
      </c>
      <c r="AB33" s="6" t="s">
        <v>104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>
        <v>1</v>
      </c>
      <c r="AP33" s="6"/>
    </row>
    <row r="34" spans="1:42" x14ac:dyDescent="0.45">
      <c r="A34" s="6" t="s">
        <v>160</v>
      </c>
      <c r="B34" s="6">
        <v>34</v>
      </c>
      <c r="C34" s="7">
        <v>46315.549536250001</v>
      </c>
      <c r="D34" s="6" t="s">
        <v>85</v>
      </c>
      <c r="E34" s="6">
        <v>1</v>
      </c>
      <c r="F34" s="6"/>
      <c r="G34" s="6"/>
      <c r="H34" s="6" t="s">
        <v>110</v>
      </c>
      <c r="I34" s="6" t="s">
        <v>89</v>
      </c>
      <c r="J34" s="6">
        <v>51</v>
      </c>
      <c r="K34" s="6">
        <v>30</v>
      </c>
      <c r="L34" s="6" t="s">
        <v>111</v>
      </c>
      <c r="M34" s="6" t="s">
        <v>91</v>
      </c>
      <c r="N34" s="6" t="s">
        <v>161</v>
      </c>
      <c r="O34" s="6" t="s">
        <v>102</v>
      </c>
      <c r="P34" s="6" t="s">
        <v>103</v>
      </c>
      <c r="Q34" s="6" t="s">
        <v>116</v>
      </c>
      <c r="R34" s="6" t="s">
        <v>116</v>
      </c>
      <c r="S34" s="6" t="s">
        <v>116</v>
      </c>
      <c r="T34" s="6" t="s">
        <v>116</v>
      </c>
      <c r="U34" s="6" t="s">
        <v>116</v>
      </c>
      <c r="V34" s="6" t="s">
        <v>116</v>
      </c>
      <c r="W34" s="6" t="s">
        <v>116</v>
      </c>
      <c r="X34" s="6" t="s">
        <v>116</v>
      </c>
      <c r="Y34" s="6" t="s">
        <v>116</v>
      </c>
      <c r="Z34" s="6" t="s">
        <v>95</v>
      </c>
      <c r="AA34" s="6" t="s">
        <v>116</v>
      </c>
      <c r="AB34" s="6" t="s">
        <v>95</v>
      </c>
      <c r="AC34" s="6" t="s">
        <v>116</v>
      </c>
      <c r="AD34" s="6" t="s">
        <v>116</v>
      </c>
      <c r="AE34" s="6" t="s">
        <v>116</v>
      </c>
      <c r="AF34" s="6" t="s">
        <v>116</v>
      </c>
      <c r="AG34" s="6" t="s">
        <v>95</v>
      </c>
      <c r="AH34" s="6" t="s">
        <v>95</v>
      </c>
      <c r="AI34" s="6" t="s">
        <v>95</v>
      </c>
      <c r="AJ34" s="6" t="s">
        <v>95</v>
      </c>
      <c r="AK34" s="6" t="s">
        <v>95</v>
      </c>
      <c r="AL34" s="6" t="s">
        <v>95</v>
      </c>
      <c r="AM34" s="6" t="s">
        <v>116</v>
      </c>
      <c r="AN34" s="6" t="s">
        <v>95</v>
      </c>
      <c r="AO34" s="6">
        <v>1</v>
      </c>
      <c r="AP34" s="6"/>
    </row>
    <row r="35" spans="1:42" x14ac:dyDescent="0.45">
      <c r="A35" s="6" t="s">
        <v>162</v>
      </c>
      <c r="B35" s="6">
        <v>35</v>
      </c>
      <c r="C35" s="7">
        <v>46315.550556921298</v>
      </c>
      <c r="D35" s="6" t="s">
        <v>85</v>
      </c>
      <c r="E35" s="6">
        <v>1</v>
      </c>
      <c r="F35" s="6"/>
      <c r="G35" s="6"/>
      <c r="H35" s="6" t="s">
        <v>110</v>
      </c>
      <c r="I35" s="6" t="s">
        <v>89</v>
      </c>
      <c r="J35" s="6">
        <v>58</v>
      </c>
      <c r="K35" s="6">
        <v>6</v>
      </c>
      <c r="L35" s="6" t="s">
        <v>124</v>
      </c>
      <c r="M35" s="6" t="s">
        <v>91</v>
      </c>
      <c r="N35" s="6" t="s">
        <v>131</v>
      </c>
      <c r="O35" s="6" t="s">
        <v>93</v>
      </c>
      <c r="P35" s="6" t="s">
        <v>103</v>
      </c>
      <c r="Q35" s="6" t="s">
        <v>116</v>
      </c>
      <c r="R35" s="6" t="s">
        <v>116</v>
      </c>
      <c r="S35" s="6" t="s">
        <v>116</v>
      </c>
      <c r="T35" s="6" t="s">
        <v>116</v>
      </c>
      <c r="U35" s="6" t="s">
        <v>116</v>
      </c>
      <c r="V35" s="6" t="s">
        <v>116</v>
      </c>
      <c r="W35" s="6" t="s">
        <v>116</v>
      </c>
      <c r="X35" s="6" t="s">
        <v>116</v>
      </c>
      <c r="Y35" s="6" t="s">
        <v>115</v>
      </c>
      <c r="Z35" s="6" t="s">
        <v>115</v>
      </c>
      <c r="AA35" s="6" t="s">
        <v>115</v>
      </c>
      <c r="AB35" s="6" t="s">
        <v>115</v>
      </c>
      <c r="AC35" s="6" t="s">
        <v>95</v>
      </c>
      <c r="AD35" s="6" t="s">
        <v>116</v>
      </c>
      <c r="AE35" s="6" t="s">
        <v>116</v>
      </c>
      <c r="AF35" s="6" t="s">
        <v>95</v>
      </c>
      <c r="AG35" s="6" t="s">
        <v>95</v>
      </c>
      <c r="AH35" s="6" t="s">
        <v>95</v>
      </c>
      <c r="AI35" s="6" t="s">
        <v>116</v>
      </c>
      <c r="AJ35" s="6" t="s">
        <v>95</v>
      </c>
      <c r="AK35" s="6" t="s">
        <v>116</v>
      </c>
      <c r="AL35" s="6" t="s">
        <v>116</v>
      </c>
      <c r="AM35" s="6" t="s">
        <v>116</v>
      </c>
      <c r="AN35" s="6" t="s">
        <v>116</v>
      </c>
      <c r="AO35" s="6">
        <v>1</v>
      </c>
      <c r="AP35" s="6"/>
    </row>
    <row r="36" spans="1:42" x14ac:dyDescent="0.45">
      <c r="A36" s="6" t="s">
        <v>163</v>
      </c>
      <c r="B36" s="6">
        <v>36</v>
      </c>
      <c r="C36" s="7">
        <v>46315.553680983787</v>
      </c>
      <c r="D36" s="6" t="s">
        <v>85</v>
      </c>
      <c r="E36" s="6">
        <v>1</v>
      </c>
      <c r="F36" s="6"/>
      <c r="G36" s="6"/>
      <c r="H36" s="6" t="s">
        <v>110</v>
      </c>
      <c r="I36" s="6" t="s">
        <v>89</v>
      </c>
      <c r="J36" s="6">
        <v>46</v>
      </c>
      <c r="K36" s="6">
        <v>20</v>
      </c>
      <c r="L36" s="6" t="s">
        <v>111</v>
      </c>
      <c r="M36" s="6" t="s">
        <v>125</v>
      </c>
      <c r="N36" s="6" t="s">
        <v>113</v>
      </c>
      <c r="O36" s="6" t="s">
        <v>114</v>
      </c>
      <c r="P36" s="6" t="s">
        <v>94</v>
      </c>
      <c r="Q36" s="6" t="s">
        <v>116</v>
      </c>
      <c r="R36" s="6" t="s">
        <v>116</v>
      </c>
      <c r="S36" s="6" t="s">
        <v>95</v>
      </c>
      <c r="T36" s="6" t="s">
        <v>95</v>
      </c>
      <c r="U36" s="6" t="s">
        <v>95</v>
      </c>
      <c r="V36" s="6" t="s">
        <v>116</v>
      </c>
      <c r="W36" s="6" t="s">
        <v>116</v>
      </c>
      <c r="X36" s="6" t="s">
        <v>116</v>
      </c>
      <c r="Y36" s="6" t="s">
        <v>116</v>
      </c>
      <c r="Z36" s="6" t="s">
        <v>116</v>
      </c>
      <c r="AA36" s="6" t="s">
        <v>116</v>
      </c>
      <c r="AB36" s="6" t="s">
        <v>116</v>
      </c>
      <c r="AC36" s="6" t="s">
        <v>95</v>
      </c>
      <c r="AD36" s="6" t="s">
        <v>95</v>
      </c>
      <c r="AE36" s="6" t="s">
        <v>116</v>
      </c>
      <c r="AF36" s="6" t="s">
        <v>95</v>
      </c>
      <c r="AG36" s="6" t="s">
        <v>95</v>
      </c>
      <c r="AH36" s="6" t="s">
        <v>116</v>
      </c>
      <c r="AI36" s="6" t="s">
        <v>104</v>
      </c>
      <c r="AJ36" s="6" t="s">
        <v>95</v>
      </c>
      <c r="AK36" s="6" t="s">
        <v>139</v>
      </c>
      <c r="AL36" s="6" t="s">
        <v>115</v>
      </c>
      <c r="AM36" s="6" t="s">
        <v>116</v>
      </c>
      <c r="AN36" s="6" t="s">
        <v>104</v>
      </c>
      <c r="AO36" s="6">
        <v>1</v>
      </c>
      <c r="AP36" s="6"/>
    </row>
    <row r="37" spans="1:42" x14ac:dyDescent="0.45">
      <c r="A37" s="6" t="s">
        <v>164</v>
      </c>
      <c r="B37" s="6">
        <v>37</v>
      </c>
      <c r="C37" s="7">
        <v>46315.560473437501</v>
      </c>
      <c r="D37" s="6" t="s">
        <v>107</v>
      </c>
      <c r="E37" s="6">
        <v>0</v>
      </c>
      <c r="F37" s="6"/>
      <c r="G37" s="6"/>
      <c r="H37" s="6" t="s">
        <v>88</v>
      </c>
      <c r="I37" s="6" t="s">
        <v>89</v>
      </c>
      <c r="J37" s="6">
        <v>60</v>
      </c>
      <c r="K37" s="6">
        <v>36</v>
      </c>
      <c r="L37" s="6" t="s">
        <v>90</v>
      </c>
      <c r="M37" s="6" t="s">
        <v>125</v>
      </c>
      <c r="N37" s="6" t="s">
        <v>113</v>
      </c>
      <c r="O37" s="6" t="s">
        <v>114</v>
      </c>
      <c r="P37" s="6" t="s">
        <v>94</v>
      </c>
      <c r="Q37" s="6" t="s">
        <v>95</v>
      </c>
      <c r="R37" s="6" t="s">
        <v>95</v>
      </c>
      <c r="S37" s="6" t="s">
        <v>115</v>
      </c>
      <c r="T37" s="6" t="s">
        <v>95</v>
      </c>
      <c r="U37" s="6" t="s">
        <v>115</v>
      </c>
      <c r="V37" s="6" t="s">
        <v>115</v>
      </c>
      <c r="W37" s="6" t="s">
        <v>95</v>
      </c>
      <c r="X37" s="6" t="s">
        <v>95</v>
      </c>
      <c r="Y37" s="6" t="s">
        <v>115</v>
      </c>
      <c r="Z37" s="6" t="s">
        <v>115</v>
      </c>
      <c r="AA37" s="6" t="s">
        <v>95</v>
      </c>
      <c r="AB37" s="6" t="s">
        <v>115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>
        <v>1</v>
      </c>
      <c r="AP37" s="6"/>
    </row>
    <row r="38" spans="1:42" x14ac:dyDescent="0.45">
      <c r="A38" s="6" t="s">
        <v>165</v>
      </c>
      <c r="B38" s="6">
        <v>38</v>
      </c>
      <c r="C38" s="7">
        <v>46315.561182083336</v>
      </c>
      <c r="D38" s="6" t="s">
        <v>85</v>
      </c>
      <c r="E38" s="6">
        <v>1</v>
      </c>
      <c r="F38" s="6"/>
      <c r="G38" s="6"/>
      <c r="H38" s="6" t="s">
        <v>88</v>
      </c>
      <c r="I38" s="6" t="s">
        <v>89</v>
      </c>
      <c r="J38" s="6">
        <v>56</v>
      </c>
      <c r="K38" s="6">
        <v>30</v>
      </c>
      <c r="L38" s="6" t="s">
        <v>166</v>
      </c>
      <c r="M38" s="6" t="s">
        <v>91</v>
      </c>
      <c r="N38" s="6" t="s">
        <v>131</v>
      </c>
      <c r="O38" s="6" t="s">
        <v>93</v>
      </c>
      <c r="P38" s="6" t="s">
        <v>103</v>
      </c>
      <c r="Q38" s="6" t="s">
        <v>95</v>
      </c>
      <c r="R38" s="6" t="s">
        <v>104</v>
      </c>
      <c r="S38" s="6" t="s">
        <v>95</v>
      </c>
      <c r="T38" s="6" t="s">
        <v>104</v>
      </c>
      <c r="U38" s="6" t="s">
        <v>116</v>
      </c>
      <c r="V38" s="6" t="s">
        <v>95</v>
      </c>
      <c r="W38" s="6" t="s">
        <v>104</v>
      </c>
      <c r="X38" s="6" t="s">
        <v>104</v>
      </c>
      <c r="Y38" s="6" t="s">
        <v>115</v>
      </c>
      <c r="Z38" s="6" t="s">
        <v>115</v>
      </c>
      <c r="AA38" s="6" t="s">
        <v>115</v>
      </c>
      <c r="AB38" s="6" t="s">
        <v>116</v>
      </c>
      <c r="AC38" s="6" t="s">
        <v>116</v>
      </c>
      <c r="AD38" s="6" t="s">
        <v>116</v>
      </c>
      <c r="AE38" s="6" t="s">
        <v>116</v>
      </c>
      <c r="AF38" s="6" t="s">
        <v>116</v>
      </c>
      <c r="AG38" s="6" t="s">
        <v>116</v>
      </c>
      <c r="AH38" s="6" t="s">
        <v>95</v>
      </c>
      <c r="AI38" s="6" t="s">
        <v>104</v>
      </c>
      <c r="AJ38" s="6" t="s">
        <v>104</v>
      </c>
      <c r="AK38" s="6" t="s">
        <v>104</v>
      </c>
      <c r="AL38" s="6" t="s">
        <v>104</v>
      </c>
      <c r="AM38" s="6" t="s">
        <v>104</v>
      </c>
      <c r="AN38" s="6" t="s">
        <v>104</v>
      </c>
      <c r="AO38" s="6">
        <v>1</v>
      </c>
      <c r="AP38" s="6"/>
    </row>
    <row r="39" spans="1:42" x14ac:dyDescent="0.45">
      <c r="A39" s="6" t="s">
        <v>167</v>
      </c>
      <c r="B39" s="6">
        <v>39</v>
      </c>
      <c r="C39" s="7">
        <v>46315.567044872689</v>
      </c>
      <c r="D39" s="6" t="s">
        <v>107</v>
      </c>
      <c r="E39" s="6">
        <v>0</v>
      </c>
      <c r="F39" s="6"/>
      <c r="G39" s="6"/>
      <c r="H39" s="6" t="s">
        <v>110</v>
      </c>
      <c r="I39" s="6" t="s">
        <v>89</v>
      </c>
      <c r="J39" s="6">
        <v>57</v>
      </c>
      <c r="K39" s="6">
        <v>32</v>
      </c>
      <c r="L39" s="6" t="s">
        <v>111</v>
      </c>
      <c r="M39" s="6" t="s">
        <v>100</v>
      </c>
      <c r="N39" s="6" t="s">
        <v>168</v>
      </c>
      <c r="O39" s="6" t="s">
        <v>114</v>
      </c>
      <c r="P39" s="6" t="s">
        <v>103</v>
      </c>
      <c r="Q39" s="6" t="s">
        <v>104</v>
      </c>
      <c r="R39" s="6" t="s">
        <v>104</v>
      </c>
      <c r="S39" s="6" t="s">
        <v>104</v>
      </c>
      <c r="T39" s="6" t="s">
        <v>104</v>
      </c>
      <c r="U39" s="6" t="s">
        <v>104</v>
      </c>
      <c r="V39" s="6" t="s">
        <v>104</v>
      </c>
      <c r="W39" s="6" t="s">
        <v>104</v>
      </c>
      <c r="X39" s="6" t="s">
        <v>104</v>
      </c>
      <c r="Y39" s="6" t="s">
        <v>139</v>
      </c>
      <c r="Z39" s="6" t="s">
        <v>139</v>
      </c>
      <c r="AA39" s="6" t="s">
        <v>139</v>
      </c>
      <c r="AB39" s="6" t="s">
        <v>139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>
        <v>1</v>
      </c>
      <c r="AP39" s="6"/>
    </row>
    <row r="40" spans="1:42" x14ac:dyDescent="0.45">
      <c r="A40" s="6" t="s">
        <v>169</v>
      </c>
      <c r="B40" s="6">
        <v>40</v>
      </c>
      <c r="C40" s="7">
        <v>46315.567486562497</v>
      </c>
      <c r="D40" s="6" t="s">
        <v>107</v>
      </c>
      <c r="E40" s="6">
        <v>0</v>
      </c>
      <c r="F40" s="6"/>
      <c r="G40" s="6"/>
      <c r="H40" s="6" t="s">
        <v>88</v>
      </c>
      <c r="I40" s="6" t="s">
        <v>89</v>
      </c>
      <c r="J40" s="6">
        <v>55</v>
      </c>
      <c r="K40" s="6">
        <v>25</v>
      </c>
      <c r="L40" s="6" t="s">
        <v>170</v>
      </c>
      <c r="M40" s="6" t="s">
        <v>100</v>
      </c>
      <c r="N40" s="6" t="s">
        <v>101</v>
      </c>
      <c r="O40" s="6" t="s">
        <v>114</v>
      </c>
      <c r="P40" s="6" t="s">
        <v>171</v>
      </c>
      <c r="Q40" s="6" t="s">
        <v>95</v>
      </c>
      <c r="R40" s="6" t="s">
        <v>116</v>
      </c>
      <c r="S40" s="6" t="s">
        <v>115</v>
      </c>
      <c r="T40" s="6" t="s">
        <v>115</v>
      </c>
      <c r="U40" s="6" t="s">
        <v>115</v>
      </c>
      <c r="V40" s="6" t="s">
        <v>95</v>
      </c>
      <c r="W40" s="6" t="s">
        <v>95</v>
      </c>
      <c r="X40" s="6" t="s">
        <v>95</v>
      </c>
      <c r="Y40" s="6" t="s">
        <v>116</v>
      </c>
      <c r="Z40" s="6" t="s">
        <v>116</v>
      </c>
      <c r="AA40" s="6" t="s">
        <v>116</v>
      </c>
      <c r="AB40" s="6" t="s">
        <v>104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>
        <v>1</v>
      </c>
      <c r="AP40" s="6"/>
    </row>
    <row r="41" spans="1:42" x14ac:dyDescent="0.45">
      <c r="A41" s="6" t="s">
        <v>172</v>
      </c>
      <c r="B41" s="6">
        <v>41</v>
      </c>
      <c r="C41" s="7">
        <v>46315.568948842592</v>
      </c>
      <c r="D41" s="6" t="s">
        <v>85</v>
      </c>
      <c r="E41" s="6">
        <v>1</v>
      </c>
      <c r="F41" s="6"/>
      <c r="G41" s="6"/>
      <c r="H41" s="6" t="s">
        <v>110</v>
      </c>
      <c r="I41" s="6" t="s">
        <v>89</v>
      </c>
      <c r="J41" s="6">
        <v>59</v>
      </c>
      <c r="K41" s="6">
        <v>32</v>
      </c>
      <c r="L41" s="6" t="s">
        <v>111</v>
      </c>
      <c r="M41" s="6" t="s">
        <v>91</v>
      </c>
      <c r="N41" s="6" t="s">
        <v>113</v>
      </c>
      <c r="O41" s="6" t="s">
        <v>114</v>
      </c>
      <c r="P41" s="6" t="s">
        <v>103</v>
      </c>
      <c r="Q41" s="6" t="s">
        <v>116</v>
      </c>
      <c r="R41" s="6" t="s">
        <v>104</v>
      </c>
      <c r="S41" s="6" t="s">
        <v>116</v>
      </c>
      <c r="T41" s="6" t="s">
        <v>116</v>
      </c>
      <c r="U41" s="6" t="s">
        <v>116</v>
      </c>
      <c r="V41" s="6" t="s">
        <v>104</v>
      </c>
      <c r="W41" s="6" t="s">
        <v>104</v>
      </c>
      <c r="X41" s="6" t="s">
        <v>104</v>
      </c>
      <c r="Y41" s="6" t="s">
        <v>116</v>
      </c>
      <c r="Z41" s="6" t="s">
        <v>116</v>
      </c>
      <c r="AA41" s="6" t="s">
        <v>116</v>
      </c>
      <c r="AB41" s="6" t="s">
        <v>116</v>
      </c>
      <c r="AC41" s="6" t="s">
        <v>95</v>
      </c>
      <c r="AD41" s="6" t="s">
        <v>116</v>
      </c>
      <c r="AE41" s="6" t="s">
        <v>116</v>
      </c>
      <c r="AF41" s="6" t="s">
        <v>115</v>
      </c>
      <c r="AG41" s="6" t="s">
        <v>95</v>
      </c>
      <c r="AH41" s="6" t="s">
        <v>95</v>
      </c>
      <c r="AI41" s="6" t="s">
        <v>116</v>
      </c>
      <c r="AJ41" s="6" t="s">
        <v>95</v>
      </c>
      <c r="AK41" s="6" t="s">
        <v>115</v>
      </c>
      <c r="AL41" s="6" t="s">
        <v>115</v>
      </c>
      <c r="AM41" s="6" t="s">
        <v>95</v>
      </c>
      <c r="AN41" s="6" t="s">
        <v>115</v>
      </c>
      <c r="AO41" s="6">
        <v>1</v>
      </c>
      <c r="AP41" s="6"/>
    </row>
    <row r="42" spans="1:42" x14ac:dyDescent="0.45">
      <c r="A42" s="6" t="s">
        <v>173</v>
      </c>
      <c r="B42" s="6">
        <v>42</v>
      </c>
      <c r="C42" s="7">
        <v>46315.569525624996</v>
      </c>
      <c r="D42" s="6" t="s">
        <v>107</v>
      </c>
      <c r="E42" s="6">
        <v>0</v>
      </c>
      <c r="F42" s="6"/>
      <c r="G42" s="6"/>
      <c r="H42" s="6" t="s">
        <v>88</v>
      </c>
      <c r="I42" s="6" t="s">
        <v>89</v>
      </c>
      <c r="J42" s="6">
        <v>48</v>
      </c>
      <c r="K42" s="6">
        <v>14</v>
      </c>
      <c r="L42" s="6" t="s">
        <v>90</v>
      </c>
      <c r="M42" s="6" t="s">
        <v>91</v>
      </c>
      <c r="N42" s="6" t="s">
        <v>113</v>
      </c>
      <c r="O42" s="6" t="s">
        <v>93</v>
      </c>
      <c r="P42" s="6" t="s">
        <v>94</v>
      </c>
      <c r="Q42" s="6" t="s">
        <v>116</v>
      </c>
      <c r="R42" s="6" t="s">
        <v>104</v>
      </c>
      <c r="S42" s="6" t="s">
        <v>104</v>
      </c>
      <c r="T42" s="6" t="s">
        <v>104</v>
      </c>
      <c r="U42" s="6" t="s">
        <v>104</v>
      </c>
      <c r="V42" s="6" t="s">
        <v>104</v>
      </c>
      <c r="W42" s="6" t="s">
        <v>104</v>
      </c>
      <c r="X42" s="6" t="s">
        <v>104</v>
      </c>
      <c r="Y42" s="6" t="s">
        <v>115</v>
      </c>
      <c r="Z42" s="6" t="s">
        <v>95</v>
      </c>
      <c r="AA42" s="6" t="s">
        <v>95</v>
      </c>
      <c r="AB42" s="6" t="s">
        <v>95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>
        <v>1</v>
      </c>
      <c r="AP42" s="6"/>
    </row>
    <row r="43" spans="1:42" x14ac:dyDescent="0.45">
      <c r="A43" s="6" t="s">
        <v>174</v>
      </c>
      <c r="B43" s="6">
        <v>43</v>
      </c>
      <c r="C43" s="7">
        <v>46315.571757824073</v>
      </c>
      <c r="D43" s="6" t="s">
        <v>107</v>
      </c>
      <c r="E43" s="6">
        <v>0</v>
      </c>
      <c r="F43" s="6"/>
      <c r="G43" s="6"/>
      <c r="H43" s="6" t="s">
        <v>110</v>
      </c>
      <c r="I43" s="6" t="s">
        <v>89</v>
      </c>
      <c r="J43" s="6">
        <v>48</v>
      </c>
      <c r="K43" s="6">
        <v>20</v>
      </c>
      <c r="L43" s="6" t="s">
        <v>111</v>
      </c>
      <c r="M43" s="6" t="s">
        <v>112</v>
      </c>
      <c r="N43" s="6" t="s">
        <v>113</v>
      </c>
      <c r="O43" s="6" t="s">
        <v>114</v>
      </c>
      <c r="P43" s="6" t="s">
        <v>94</v>
      </c>
      <c r="Q43" s="6" t="s">
        <v>116</v>
      </c>
      <c r="R43" s="6" t="s">
        <v>104</v>
      </c>
      <c r="S43" s="6" t="s">
        <v>116</v>
      </c>
      <c r="T43" s="6" t="s">
        <v>116</v>
      </c>
      <c r="U43" s="6" t="s">
        <v>116</v>
      </c>
      <c r="V43" s="6" t="s">
        <v>116</v>
      </c>
      <c r="W43" s="6" t="s">
        <v>116</v>
      </c>
      <c r="X43" s="6" t="s">
        <v>116</v>
      </c>
      <c r="Y43" s="6" t="s">
        <v>116</v>
      </c>
      <c r="Z43" s="6" t="s">
        <v>116</v>
      </c>
      <c r="AA43" s="6" t="s">
        <v>116</v>
      </c>
      <c r="AB43" s="6" t="s">
        <v>116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1</v>
      </c>
      <c r="AP43" s="6"/>
    </row>
    <row r="44" spans="1:42" x14ac:dyDescent="0.45">
      <c r="A44" s="6" t="s">
        <v>175</v>
      </c>
      <c r="B44" s="6">
        <v>44</v>
      </c>
      <c r="C44" s="7">
        <v>46315.572395972224</v>
      </c>
      <c r="D44" s="6" t="s">
        <v>107</v>
      </c>
      <c r="E44" s="6">
        <v>0</v>
      </c>
      <c r="F44" s="6"/>
      <c r="G44" s="6"/>
      <c r="H44" s="6" t="s">
        <v>110</v>
      </c>
      <c r="I44" s="6" t="s">
        <v>89</v>
      </c>
      <c r="J44" s="6">
        <v>44</v>
      </c>
      <c r="K44" s="6">
        <v>17</v>
      </c>
      <c r="L44" s="6" t="s">
        <v>90</v>
      </c>
      <c r="M44" s="6" t="s">
        <v>125</v>
      </c>
      <c r="N44" s="6" t="s">
        <v>113</v>
      </c>
      <c r="O44" s="6" t="s">
        <v>114</v>
      </c>
      <c r="P44" s="6" t="s">
        <v>94</v>
      </c>
      <c r="Q44" s="6" t="s">
        <v>95</v>
      </c>
      <c r="R44" s="6" t="s">
        <v>95</v>
      </c>
      <c r="S44" s="6" t="s">
        <v>95</v>
      </c>
      <c r="T44" s="6" t="s">
        <v>95</v>
      </c>
      <c r="U44" s="6" t="s">
        <v>95</v>
      </c>
      <c r="V44" s="6" t="s">
        <v>115</v>
      </c>
      <c r="W44" s="6" t="s">
        <v>116</v>
      </c>
      <c r="X44" s="6" t="s">
        <v>95</v>
      </c>
      <c r="Y44" s="6" t="s">
        <v>95</v>
      </c>
      <c r="Z44" s="6" t="s">
        <v>95</v>
      </c>
      <c r="AA44" s="6" t="s">
        <v>95</v>
      </c>
      <c r="AB44" s="6" t="s">
        <v>116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>
        <v>1</v>
      </c>
      <c r="AP44" s="6"/>
    </row>
    <row r="45" spans="1:42" x14ac:dyDescent="0.45">
      <c r="A45" s="6" t="s">
        <v>176</v>
      </c>
      <c r="B45" s="6">
        <v>45</v>
      </c>
      <c r="C45" s="7">
        <v>46315.578069537027</v>
      </c>
      <c r="D45" s="6" t="s">
        <v>107</v>
      </c>
      <c r="E45" s="6">
        <v>0</v>
      </c>
      <c r="F45" s="6"/>
      <c r="G45" s="6"/>
      <c r="H45" s="6" t="s">
        <v>88</v>
      </c>
      <c r="I45" s="6" t="s">
        <v>156</v>
      </c>
      <c r="J45" s="6">
        <v>34</v>
      </c>
      <c r="K45" s="6">
        <v>8</v>
      </c>
      <c r="L45" s="6" t="s">
        <v>90</v>
      </c>
      <c r="M45" s="6" t="s">
        <v>112</v>
      </c>
      <c r="N45" s="6" t="s">
        <v>113</v>
      </c>
      <c r="O45" s="6" t="s">
        <v>135</v>
      </c>
      <c r="P45" s="6" t="s">
        <v>171</v>
      </c>
      <c r="Q45" s="6" t="s">
        <v>95</v>
      </c>
      <c r="R45" s="6" t="s">
        <v>95</v>
      </c>
      <c r="S45" s="6" t="s">
        <v>95</v>
      </c>
      <c r="T45" s="6" t="s">
        <v>95</v>
      </c>
      <c r="U45" s="6" t="s">
        <v>95</v>
      </c>
      <c r="V45" s="6" t="s">
        <v>115</v>
      </c>
      <c r="W45" s="6" t="s">
        <v>95</v>
      </c>
      <c r="X45" s="6" t="s">
        <v>95</v>
      </c>
      <c r="Y45" s="6" t="s">
        <v>104</v>
      </c>
      <c r="Z45" s="6" t="s">
        <v>104</v>
      </c>
      <c r="AA45" s="6" t="s">
        <v>104</v>
      </c>
      <c r="AB45" s="6" t="s">
        <v>104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>
        <v>1</v>
      </c>
      <c r="AP45" s="6"/>
    </row>
    <row r="46" spans="1:42" x14ac:dyDescent="0.45">
      <c r="A46" s="6" t="s">
        <v>177</v>
      </c>
      <c r="B46" s="6">
        <v>46</v>
      </c>
      <c r="C46" s="7">
        <v>46315.57904016204</v>
      </c>
      <c r="D46" s="6" t="s">
        <v>85</v>
      </c>
      <c r="E46" s="6">
        <v>1</v>
      </c>
      <c r="F46" s="6"/>
      <c r="G46" s="6"/>
      <c r="H46" s="6" t="s">
        <v>110</v>
      </c>
      <c r="I46" s="6" t="s">
        <v>89</v>
      </c>
      <c r="J46" s="6">
        <v>33</v>
      </c>
      <c r="K46" s="6">
        <v>8</v>
      </c>
      <c r="L46" s="6" t="s">
        <v>124</v>
      </c>
      <c r="M46" s="6" t="s">
        <v>91</v>
      </c>
      <c r="N46" s="6" t="s">
        <v>113</v>
      </c>
      <c r="O46" s="6" t="s">
        <v>102</v>
      </c>
      <c r="P46" s="6" t="s">
        <v>103</v>
      </c>
      <c r="Q46" s="6" t="s">
        <v>116</v>
      </c>
      <c r="R46" s="6" t="s">
        <v>116</v>
      </c>
      <c r="S46" s="6" t="s">
        <v>116</v>
      </c>
      <c r="T46" s="6" t="s">
        <v>116</v>
      </c>
      <c r="U46" s="6" t="s">
        <v>104</v>
      </c>
      <c r="V46" s="6" t="s">
        <v>116</v>
      </c>
      <c r="W46" s="6" t="s">
        <v>104</v>
      </c>
      <c r="X46" s="6" t="s">
        <v>116</v>
      </c>
      <c r="Y46" s="6" t="s">
        <v>116</v>
      </c>
      <c r="Z46" s="6" t="s">
        <v>95</v>
      </c>
      <c r="AA46" s="6" t="s">
        <v>104</v>
      </c>
      <c r="AB46" s="6" t="s">
        <v>95</v>
      </c>
      <c r="AC46" s="6" t="s">
        <v>116</v>
      </c>
      <c r="AD46" s="6" t="s">
        <v>116</v>
      </c>
      <c r="AE46" s="6" t="s">
        <v>95</v>
      </c>
      <c r="AF46" s="6" t="s">
        <v>115</v>
      </c>
      <c r="AG46" s="6" t="s">
        <v>95</v>
      </c>
      <c r="AH46" s="6" t="s">
        <v>139</v>
      </c>
      <c r="AI46" s="6" t="s">
        <v>116</v>
      </c>
      <c r="AJ46" s="6" t="s">
        <v>95</v>
      </c>
      <c r="AK46" s="6" t="s">
        <v>139</v>
      </c>
      <c r="AL46" s="6" t="s">
        <v>139</v>
      </c>
      <c r="AM46" s="6" t="s">
        <v>116</v>
      </c>
      <c r="AN46" s="6" t="s">
        <v>139</v>
      </c>
      <c r="AO46" s="6">
        <v>1</v>
      </c>
      <c r="AP46" s="6"/>
    </row>
    <row r="47" spans="1:42" x14ac:dyDescent="0.45">
      <c r="A47" s="6" t="s">
        <v>178</v>
      </c>
      <c r="B47" s="6">
        <v>47</v>
      </c>
      <c r="C47" s="7">
        <v>46315.591955810189</v>
      </c>
      <c r="D47" s="6" t="s">
        <v>107</v>
      </c>
      <c r="E47" s="6">
        <v>0</v>
      </c>
      <c r="F47" s="6"/>
      <c r="G47" s="6"/>
      <c r="H47" s="6" t="s">
        <v>110</v>
      </c>
      <c r="I47" s="6" t="s">
        <v>89</v>
      </c>
      <c r="J47" s="6">
        <v>45</v>
      </c>
      <c r="K47" s="6">
        <v>19</v>
      </c>
      <c r="L47" s="6" t="s">
        <v>90</v>
      </c>
      <c r="M47" s="6" t="s">
        <v>125</v>
      </c>
      <c r="N47" s="6" t="s">
        <v>113</v>
      </c>
      <c r="O47" s="6" t="s">
        <v>114</v>
      </c>
      <c r="P47" s="6" t="s">
        <v>103</v>
      </c>
      <c r="Q47" s="6" t="s">
        <v>116</v>
      </c>
      <c r="R47" s="6" t="s">
        <v>116</v>
      </c>
      <c r="S47" s="6" t="s">
        <v>104</v>
      </c>
      <c r="T47" s="6" t="s">
        <v>95</v>
      </c>
      <c r="U47" s="6" t="s">
        <v>115</v>
      </c>
      <c r="V47" s="6" t="s">
        <v>115</v>
      </c>
      <c r="W47" s="6" t="s">
        <v>116</v>
      </c>
      <c r="X47" s="6" t="s">
        <v>95</v>
      </c>
      <c r="Y47" s="6" t="s">
        <v>116</v>
      </c>
      <c r="Z47" s="6" t="s">
        <v>116</v>
      </c>
      <c r="AA47" s="6" t="s">
        <v>116</v>
      </c>
      <c r="AB47" s="6" t="s">
        <v>95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>
        <v>1</v>
      </c>
      <c r="AP47" s="6"/>
    </row>
    <row r="48" spans="1:42" x14ac:dyDescent="0.45">
      <c r="A48" s="6" t="s">
        <v>179</v>
      </c>
      <c r="B48" s="6">
        <v>48</v>
      </c>
      <c r="C48" s="7">
        <v>46315.596044351849</v>
      </c>
      <c r="D48" s="6" t="s">
        <v>107</v>
      </c>
      <c r="E48" s="6">
        <v>0</v>
      </c>
      <c r="F48" s="6"/>
      <c r="G48" s="6"/>
      <c r="H48" s="6" t="s">
        <v>110</v>
      </c>
      <c r="I48" s="6" t="s">
        <v>89</v>
      </c>
      <c r="J48" s="6">
        <v>30</v>
      </c>
      <c r="K48" s="6">
        <v>5</v>
      </c>
      <c r="L48" s="6" t="s">
        <v>124</v>
      </c>
      <c r="M48" s="6" t="s">
        <v>125</v>
      </c>
      <c r="N48" s="6" t="s">
        <v>92</v>
      </c>
      <c r="O48" s="6" t="s">
        <v>114</v>
      </c>
      <c r="P48" s="6" t="s">
        <v>103</v>
      </c>
      <c r="Q48" s="6" t="s">
        <v>116</v>
      </c>
      <c r="R48" s="6" t="s">
        <v>116</v>
      </c>
      <c r="S48" s="6" t="s">
        <v>116</v>
      </c>
      <c r="T48" s="6" t="s">
        <v>116</v>
      </c>
      <c r="U48" s="6" t="s">
        <v>116</v>
      </c>
      <c r="V48" s="6" t="s">
        <v>116</v>
      </c>
      <c r="W48" s="6" t="s">
        <v>116</v>
      </c>
      <c r="X48" s="6" t="s">
        <v>116</v>
      </c>
      <c r="Y48" s="6" t="s">
        <v>95</v>
      </c>
      <c r="Z48" s="6" t="s">
        <v>95</v>
      </c>
      <c r="AA48" s="6" t="s">
        <v>95</v>
      </c>
      <c r="AB48" s="6" t="s">
        <v>95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>
        <v>1</v>
      </c>
      <c r="AP48" s="6"/>
    </row>
    <row r="49" spans="1:42" x14ac:dyDescent="0.45">
      <c r="A49" s="6" t="s">
        <v>180</v>
      </c>
      <c r="B49" s="6">
        <v>49</v>
      </c>
      <c r="C49" s="7">
        <v>46315.600414444452</v>
      </c>
      <c r="D49" s="6" t="s">
        <v>107</v>
      </c>
      <c r="E49" s="6">
        <v>0</v>
      </c>
      <c r="F49" s="6"/>
      <c r="G49" s="6"/>
      <c r="H49" s="6" t="s">
        <v>110</v>
      </c>
      <c r="I49" s="6" t="s">
        <v>89</v>
      </c>
      <c r="J49" s="6">
        <v>55</v>
      </c>
      <c r="K49" s="6">
        <v>15</v>
      </c>
      <c r="L49" s="6" t="s">
        <v>124</v>
      </c>
      <c r="M49" s="6" t="s">
        <v>91</v>
      </c>
      <c r="N49" s="6" t="s">
        <v>181</v>
      </c>
      <c r="O49" s="6" t="s">
        <v>114</v>
      </c>
      <c r="P49" s="6" t="s">
        <v>129</v>
      </c>
      <c r="Q49" s="6" t="s">
        <v>116</v>
      </c>
      <c r="R49" s="6" t="s">
        <v>116</v>
      </c>
      <c r="S49" s="6" t="s">
        <v>116</v>
      </c>
      <c r="T49" s="6" t="s">
        <v>116</v>
      </c>
      <c r="U49" s="6" t="s">
        <v>116</v>
      </c>
      <c r="V49" s="6" t="s">
        <v>115</v>
      </c>
      <c r="W49" s="6" t="s">
        <v>116</v>
      </c>
      <c r="X49" s="6" t="s">
        <v>116</v>
      </c>
      <c r="Y49" s="6" t="s">
        <v>116</v>
      </c>
      <c r="Z49" s="6" t="s">
        <v>104</v>
      </c>
      <c r="AA49" s="6" t="s">
        <v>104</v>
      </c>
      <c r="AB49" s="6" t="s">
        <v>104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>
        <v>1</v>
      </c>
      <c r="AP49" s="6"/>
    </row>
    <row r="50" spans="1:42" x14ac:dyDescent="0.45">
      <c r="A50" s="6" t="s">
        <v>182</v>
      </c>
      <c r="B50" s="6">
        <v>50</v>
      </c>
      <c r="C50" s="7">
        <v>46315.601040486108</v>
      </c>
      <c r="D50" s="6" t="s">
        <v>85</v>
      </c>
      <c r="E50" s="6">
        <v>1</v>
      </c>
      <c r="F50" s="6"/>
      <c r="G50" s="6"/>
      <c r="H50" s="6" t="s">
        <v>110</v>
      </c>
      <c r="I50" s="6" t="s">
        <v>89</v>
      </c>
      <c r="J50" s="6">
        <v>63</v>
      </c>
      <c r="K50" s="6">
        <v>37</v>
      </c>
      <c r="L50" s="6" t="s">
        <v>111</v>
      </c>
      <c r="M50" s="6" t="s">
        <v>112</v>
      </c>
      <c r="N50" s="6" t="s">
        <v>131</v>
      </c>
      <c r="O50" s="6" t="s">
        <v>102</v>
      </c>
      <c r="P50" s="6" t="s">
        <v>129</v>
      </c>
      <c r="Q50" s="6" t="s">
        <v>116</v>
      </c>
      <c r="R50" s="6" t="s">
        <v>116</v>
      </c>
      <c r="S50" s="6" t="s">
        <v>116</v>
      </c>
      <c r="T50" s="6" t="s">
        <v>116</v>
      </c>
      <c r="U50" s="6" t="s">
        <v>95</v>
      </c>
      <c r="V50" s="6" t="s">
        <v>116</v>
      </c>
      <c r="W50" s="6" t="s">
        <v>116</v>
      </c>
      <c r="X50" s="6" t="s">
        <v>116</v>
      </c>
      <c r="Y50" s="6" t="s">
        <v>104</v>
      </c>
      <c r="Z50" s="6" t="s">
        <v>116</v>
      </c>
      <c r="AA50" s="6" t="s">
        <v>104</v>
      </c>
      <c r="AB50" s="6" t="s">
        <v>116</v>
      </c>
      <c r="AC50" s="6" t="s">
        <v>116</v>
      </c>
      <c r="AD50" s="6" t="s">
        <v>116</v>
      </c>
      <c r="AE50" s="6" t="s">
        <v>116</v>
      </c>
      <c r="AF50" s="6" t="s">
        <v>116</v>
      </c>
      <c r="AG50" s="6" t="s">
        <v>116</v>
      </c>
      <c r="AH50" s="6" t="s">
        <v>116</v>
      </c>
      <c r="AI50" s="6" t="s">
        <v>116</v>
      </c>
      <c r="AJ50" s="6" t="s">
        <v>116</v>
      </c>
      <c r="AK50" s="6" t="s">
        <v>116</v>
      </c>
      <c r="AL50" s="6" t="s">
        <v>116</v>
      </c>
      <c r="AM50" s="6" t="s">
        <v>116</v>
      </c>
      <c r="AN50" s="6" t="s">
        <v>116</v>
      </c>
      <c r="AO50" s="6">
        <v>1</v>
      </c>
      <c r="AP50" s="6"/>
    </row>
    <row r="51" spans="1:42" x14ac:dyDescent="0.45">
      <c r="A51" s="6" t="s">
        <v>183</v>
      </c>
      <c r="B51" s="6">
        <v>51</v>
      </c>
      <c r="C51" s="7">
        <v>46315.602985717589</v>
      </c>
      <c r="D51" s="6" t="s">
        <v>107</v>
      </c>
      <c r="E51" s="6">
        <v>0</v>
      </c>
      <c r="F51" s="6"/>
      <c r="G51" s="6"/>
      <c r="H51" s="6" t="s">
        <v>110</v>
      </c>
      <c r="I51" s="6" t="s">
        <v>89</v>
      </c>
      <c r="J51" s="6">
        <v>37</v>
      </c>
      <c r="K51" s="6">
        <v>13</v>
      </c>
      <c r="L51" s="6" t="s">
        <v>111</v>
      </c>
      <c r="M51" s="6" t="s">
        <v>112</v>
      </c>
      <c r="N51" s="6" t="s">
        <v>92</v>
      </c>
      <c r="O51" s="6" t="s">
        <v>102</v>
      </c>
      <c r="P51" s="6" t="s">
        <v>94</v>
      </c>
      <c r="Q51" s="6" t="s">
        <v>116</v>
      </c>
      <c r="R51" s="6" t="s">
        <v>116</v>
      </c>
      <c r="S51" s="6" t="s">
        <v>116</v>
      </c>
      <c r="T51" s="6" t="s">
        <v>116</v>
      </c>
      <c r="U51" s="6" t="s">
        <v>116</v>
      </c>
      <c r="V51" s="6" t="s">
        <v>116</v>
      </c>
      <c r="W51" s="6" t="s">
        <v>116</v>
      </c>
      <c r="X51" s="6" t="s">
        <v>116</v>
      </c>
      <c r="Y51" s="6" t="s">
        <v>116</v>
      </c>
      <c r="Z51" s="6" t="s">
        <v>116</v>
      </c>
      <c r="AA51" s="6" t="s">
        <v>116</v>
      </c>
      <c r="AB51" s="6" t="s">
        <v>116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>
        <v>1</v>
      </c>
      <c r="AP51" s="6"/>
    </row>
    <row r="52" spans="1:42" x14ac:dyDescent="0.45">
      <c r="A52" s="6" t="s">
        <v>184</v>
      </c>
      <c r="B52" s="6">
        <v>52</v>
      </c>
      <c r="C52" s="7">
        <v>46315.613496192127</v>
      </c>
      <c r="D52" s="6" t="s">
        <v>107</v>
      </c>
      <c r="E52" s="6">
        <v>0</v>
      </c>
      <c r="F52" s="6"/>
      <c r="G52" s="6"/>
      <c r="H52" s="6" t="s">
        <v>110</v>
      </c>
      <c r="I52" s="6" t="s">
        <v>156</v>
      </c>
      <c r="J52" s="6">
        <v>28</v>
      </c>
      <c r="K52" s="6">
        <v>4</v>
      </c>
      <c r="L52" s="6" t="s">
        <v>124</v>
      </c>
      <c r="M52" s="6" t="s">
        <v>125</v>
      </c>
      <c r="N52" s="6" t="s">
        <v>113</v>
      </c>
      <c r="O52" s="6" t="s">
        <v>114</v>
      </c>
      <c r="P52" s="6" t="s">
        <v>94</v>
      </c>
      <c r="Q52" s="6" t="s">
        <v>95</v>
      </c>
      <c r="R52" s="6" t="s">
        <v>115</v>
      </c>
      <c r="S52" s="6" t="s">
        <v>95</v>
      </c>
      <c r="T52" s="6" t="s">
        <v>95</v>
      </c>
      <c r="U52" s="6" t="s">
        <v>116</v>
      </c>
      <c r="V52" s="6" t="s">
        <v>115</v>
      </c>
      <c r="W52" s="6" t="s">
        <v>95</v>
      </c>
      <c r="X52" s="6" t="s">
        <v>95</v>
      </c>
      <c r="Y52" s="6" t="s">
        <v>115</v>
      </c>
      <c r="Z52" s="6" t="s">
        <v>115</v>
      </c>
      <c r="AA52" s="6" t="s">
        <v>115</v>
      </c>
      <c r="AB52" s="6" t="s">
        <v>115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>
        <v>1</v>
      </c>
      <c r="AP52" s="6"/>
    </row>
    <row r="53" spans="1:42" x14ac:dyDescent="0.45">
      <c r="A53" s="6" t="s">
        <v>185</v>
      </c>
      <c r="B53" s="6">
        <v>53</v>
      </c>
      <c r="C53" s="7">
        <v>46315.613863495368</v>
      </c>
      <c r="D53" s="6" t="s">
        <v>107</v>
      </c>
      <c r="E53" s="6">
        <v>0</v>
      </c>
      <c r="F53" s="6"/>
      <c r="G53" s="6"/>
      <c r="H53" s="6" t="s">
        <v>88</v>
      </c>
      <c r="I53" s="6" t="s">
        <v>89</v>
      </c>
      <c r="J53" s="6">
        <v>33</v>
      </c>
      <c r="K53" s="6">
        <v>7</v>
      </c>
      <c r="L53" s="6" t="s">
        <v>90</v>
      </c>
      <c r="M53" s="6" t="s">
        <v>112</v>
      </c>
      <c r="N53" s="6" t="s">
        <v>113</v>
      </c>
      <c r="O53" s="6" t="s">
        <v>102</v>
      </c>
      <c r="P53" s="6" t="s">
        <v>129</v>
      </c>
      <c r="Q53" s="6" t="s">
        <v>116</v>
      </c>
      <c r="R53" s="6" t="s">
        <v>104</v>
      </c>
      <c r="S53" s="6" t="s">
        <v>116</v>
      </c>
      <c r="T53" s="6" t="s">
        <v>116</v>
      </c>
      <c r="U53" s="6" t="s">
        <v>95</v>
      </c>
      <c r="V53" s="6" t="s">
        <v>116</v>
      </c>
      <c r="W53" s="6" t="s">
        <v>104</v>
      </c>
      <c r="X53" s="6" t="s">
        <v>116</v>
      </c>
      <c r="Y53" s="6" t="s">
        <v>104</v>
      </c>
      <c r="Z53" s="6" t="s">
        <v>104</v>
      </c>
      <c r="AA53" s="6" t="s">
        <v>104</v>
      </c>
      <c r="AB53" s="6" t="s">
        <v>116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>
        <v>1</v>
      </c>
      <c r="AP53" s="6"/>
    </row>
    <row r="54" spans="1:42" x14ac:dyDescent="0.45">
      <c r="A54" s="6" t="s">
        <v>186</v>
      </c>
      <c r="B54" s="6">
        <v>54</v>
      </c>
      <c r="C54" s="7">
        <v>46315.664699189823</v>
      </c>
      <c r="D54" s="6" t="s">
        <v>85</v>
      </c>
      <c r="E54" s="6">
        <v>1</v>
      </c>
      <c r="F54" s="6"/>
      <c r="G54" s="6"/>
      <c r="H54" s="6" t="s">
        <v>88</v>
      </c>
      <c r="I54" s="6" t="s">
        <v>89</v>
      </c>
      <c r="J54" s="6">
        <v>45</v>
      </c>
      <c r="K54" s="6">
        <v>10</v>
      </c>
      <c r="L54" s="6" t="s">
        <v>90</v>
      </c>
      <c r="M54" s="6" t="s">
        <v>112</v>
      </c>
      <c r="N54" s="6" t="s">
        <v>92</v>
      </c>
      <c r="O54" s="6" t="s">
        <v>102</v>
      </c>
      <c r="P54" s="6" t="s">
        <v>94</v>
      </c>
      <c r="Q54" s="6" t="s">
        <v>104</v>
      </c>
      <c r="R54" s="6" t="s">
        <v>104</v>
      </c>
      <c r="S54" s="6" t="s">
        <v>104</v>
      </c>
      <c r="T54" s="6" t="s">
        <v>104</v>
      </c>
      <c r="U54" s="6" t="s">
        <v>104</v>
      </c>
      <c r="V54" s="6" t="s">
        <v>116</v>
      </c>
      <c r="W54" s="6" t="s">
        <v>104</v>
      </c>
      <c r="X54" s="6" t="s">
        <v>104</v>
      </c>
      <c r="Y54" s="6" t="s">
        <v>139</v>
      </c>
      <c r="Z54" s="6" t="s">
        <v>139</v>
      </c>
      <c r="AA54" s="6" t="s">
        <v>104</v>
      </c>
      <c r="AB54" s="6" t="s">
        <v>139</v>
      </c>
      <c r="AC54" s="6" t="s">
        <v>104</v>
      </c>
      <c r="AD54" s="6" t="s">
        <v>104</v>
      </c>
      <c r="AE54" s="6" t="s">
        <v>104</v>
      </c>
      <c r="AF54" s="6" t="s">
        <v>104</v>
      </c>
      <c r="AG54" s="6" t="s">
        <v>104</v>
      </c>
      <c r="AH54" s="6" t="s">
        <v>95</v>
      </c>
      <c r="AI54" s="6" t="s">
        <v>104</v>
      </c>
      <c r="AJ54" s="6" t="s">
        <v>104</v>
      </c>
      <c r="AK54" s="6" t="s">
        <v>104</v>
      </c>
      <c r="AL54" s="6" t="s">
        <v>104</v>
      </c>
      <c r="AM54" s="6" t="s">
        <v>104</v>
      </c>
      <c r="AN54" s="6" t="s">
        <v>104</v>
      </c>
      <c r="AO54" s="6">
        <v>1</v>
      </c>
      <c r="AP54" s="6"/>
    </row>
    <row r="55" spans="1:42" x14ac:dyDescent="0.45">
      <c r="A55" s="6" t="s">
        <v>187</v>
      </c>
      <c r="B55" s="6">
        <v>55</v>
      </c>
      <c r="C55" s="7">
        <v>46315.707368263887</v>
      </c>
      <c r="D55" s="6" t="s">
        <v>85</v>
      </c>
      <c r="E55" s="6">
        <v>1</v>
      </c>
      <c r="F55" s="6"/>
      <c r="G55" s="6"/>
      <c r="H55" s="6" t="s">
        <v>110</v>
      </c>
      <c r="I55" s="6" t="s">
        <v>89</v>
      </c>
      <c r="J55" s="6">
        <v>40</v>
      </c>
      <c r="K55" s="6">
        <v>10</v>
      </c>
      <c r="L55" s="6" t="s">
        <v>111</v>
      </c>
      <c r="M55" s="6" t="s">
        <v>100</v>
      </c>
      <c r="N55" s="6" t="s">
        <v>113</v>
      </c>
      <c r="O55" s="6" t="s">
        <v>102</v>
      </c>
      <c r="P55" s="6" t="s">
        <v>94</v>
      </c>
      <c r="Q55" s="6" t="s">
        <v>116</v>
      </c>
      <c r="R55" s="6" t="s">
        <v>116</v>
      </c>
      <c r="S55" s="6" t="s">
        <v>95</v>
      </c>
      <c r="T55" s="6" t="s">
        <v>116</v>
      </c>
      <c r="U55" s="6" t="s">
        <v>95</v>
      </c>
      <c r="V55" s="6" t="s">
        <v>115</v>
      </c>
      <c r="W55" s="6" t="s">
        <v>116</v>
      </c>
      <c r="X55" s="6" t="s">
        <v>95</v>
      </c>
      <c r="Y55" s="6" t="s">
        <v>116</v>
      </c>
      <c r="Z55" s="6" t="s">
        <v>104</v>
      </c>
      <c r="AA55" s="6" t="s">
        <v>104</v>
      </c>
      <c r="AB55" s="6" t="s">
        <v>116</v>
      </c>
      <c r="AC55" s="6" t="s">
        <v>116</v>
      </c>
      <c r="AD55" s="6" t="s">
        <v>116</v>
      </c>
      <c r="AE55" s="6" t="s">
        <v>116</v>
      </c>
      <c r="AF55" s="6" t="s">
        <v>116</v>
      </c>
      <c r="AG55" s="6" t="s">
        <v>116</v>
      </c>
      <c r="AH55" s="6" t="s">
        <v>116</v>
      </c>
      <c r="AI55" s="6" t="s">
        <v>95</v>
      </c>
      <c r="AJ55" s="6" t="s">
        <v>95</v>
      </c>
      <c r="AK55" s="6" t="s">
        <v>116</v>
      </c>
      <c r="AL55" s="6" t="s">
        <v>116</v>
      </c>
      <c r="AM55" s="6" t="s">
        <v>115</v>
      </c>
      <c r="AN55" s="6" t="s">
        <v>95</v>
      </c>
      <c r="AO55" s="6">
        <v>1</v>
      </c>
      <c r="AP55" s="6"/>
    </row>
    <row r="56" spans="1:42" x14ac:dyDescent="0.45">
      <c r="A56" s="6" t="s">
        <v>188</v>
      </c>
      <c r="B56" s="6">
        <v>56</v>
      </c>
      <c r="C56" s="7">
        <v>46315.759563101848</v>
      </c>
      <c r="D56" s="6" t="s">
        <v>85</v>
      </c>
      <c r="E56" s="6">
        <v>1</v>
      </c>
      <c r="F56" s="6"/>
      <c r="G56" s="6"/>
      <c r="H56" s="6" t="s">
        <v>88</v>
      </c>
      <c r="I56" s="6" t="s">
        <v>89</v>
      </c>
      <c r="J56" s="6">
        <v>35</v>
      </c>
      <c r="K56" s="6">
        <v>10</v>
      </c>
      <c r="L56" s="6" t="s">
        <v>189</v>
      </c>
      <c r="M56" s="6" t="s">
        <v>125</v>
      </c>
      <c r="N56" s="6" t="s">
        <v>92</v>
      </c>
      <c r="O56" s="6" t="s">
        <v>135</v>
      </c>
      <c r="P56" s="6" t="s">
        <v>129</v>
      </c>
      <c r="Q56" s="6" t="s">
        <v>95</v>
      </c>
      <c r="R56" s="6" t="s">
        <v>116</v>
      </c>
      <c r="S56" s="6" t="s">
        <v>116</v>
      </c>
      <c r="T56" s="6" t="s">
        <v>104</v>
      </c>
      <c r="U56" s="6" t="s">
        <v>116</v>
      </c>
      <c r="V56" s="6" t="s">
        <v>115</v>
      </c>
      <c r="W56" s="6" t="s">
        <v>116</v>
      </c>
      <c r="X56" s="6" t="s">
        <v>116</v>
      </c>
      <c r="Y56" s="6" t="s">
        <v>116</v>
      </c>
      <c r="Z56" s="6" t="s">
        <v>116</v>
      </c>
      <c r="AA56" s="6" t="s">
        <v>95</v>
      </c>
      <c r="AB56" s="6" t="s">
        <v>95</v>
      </c>
      <c r="AC56" s="6" t="s">
        <v>116</v>
      </c>
      <c r="AD56" s="6" t="s">
        <v>116</v>
      </c>
      <c r="AE56" s="6" t="s">
        <v>116</v>
      </c>
      <c r="AF56" s="6" t="s">
        <v>116</v>
      </c>
      <c r="AG56" s="6" t="s">
        <v>104</v>
      </c>
      <c r="AH56" s="6" t="s">
        <v>104</v>
      </c>
      <c r="AI56" s="6" t="s">
        <v>104</v>
      </c>
      <c r="AJ56" s="6" t="s">
        <v>104</v>
      </c>
      <c r="AK56" s="6" t="s">
        <v>104</v>
      </c>
      <c r="AL56" s="6" t="s">
        <v>104</v>
      </c>
      <c r="AM56" s="6" t="s">
        <v>116</v>
      </c>
      <c r="AN56" s="6" t="s">
        <v>116</v>
      </c>
      <c r="AO56" s="6">
        <v>1</v>
      </c>
      <c r="AP56" s="6"/>
    </row>
    <row r="57" spans="1:42" x14ac:dyDescent="0.45">
      <c r="A57" s="6" t="s">
        <v>190</v>
      </c>
      <c r="B57" s="6">
        <v>57</v>
      </c>
      <c r="C57" s="7">
        <v>46315.814715891203</v>
      </c>
      <c r="D57" s="6" t="s">
        <v>107</v>
      </c>
      <c r="E57" s="6">
        <v>0</v>
      </c>
      <c r="F57" s="6"/>
      <c r="G57" s="6"/>
      <c r="H57" s="6" t="s">
        <v>88</v>
      </c>
      <c r="I57" s="6" t="s">
        <v>156</v>
      </c>
      <c r="J57" s="6">
        <v>39</v>
      </c>
      <c r="K57" s="6">
        <v>13</v>
      </c>
      <c r="L57" s="6" t="s">
        <v>90</v>
      </c>
      <c r="M57" s="6" t="s">
        <v>100</v>
      </c>
      <c r="N57" s="6" t="s">
        <v>113</v>
      </c>
      <c r="O57" s="6" t="s">
        <v>114</v>
      </c>
      <c r="P57" s="6" t="s">
        <v>129</v>
      </c>
      <c r="Q57" s="6" t="s">
        <v>115</v>
      </c>
      <c r="R57" s="6" t="s">
        <v>115</v>
      </c>
      <c r="S57" s="6" t="s">
        <v>139</v>
      </c>
      <c r="T57" s="6" t="s">
        <v>139</v>
      </c>
      <c r="U57" s="6" t="s">
        <v>139</v>
      </c>
      <c r="V57" s="6" t="s">
        <v>139</v>
      </c>
      <c r="W57" s="6" t="s">
        <v>115</v>
      </c>
      <c r="X57" s="6" t="s">
        <v>139</v>
      </c>
      <c r="Y57" s="6" t="s">
        <v>104</v>
      </c>
      <c r="Z57" s="6" t="s">
        <v>104</v>
      </c>
      <c r="AA57" s="6" t="s">
        <v>104</v>
      </c>
      <c r="AB57" s="6" t="s">
        <v>104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1</v>
      </c>
      <c r="AP57" s="6"/>
    </row>
    <row r="58" spans="1:42" x14ac:dyDescent="0.45">
      <c r="A58" s="6" t="s">
        <v>191</v>
      </c>
      <c r="B58" s="6">
        <v>58</v>
      </c>
      <c r="C58" s="7">
        <v>46315.826891273151</v>
      </c>
      <c r="D58" s="6" t="s">
        <v>107</v>
      </c>
      <c r="E58" s="6">
        <v>0</v>
      </c>
      <c r="F58" s="6"/>
      <c r="G58" s="6"/>
      <c r="H58" s="6" t="s">
        <v>110</v>
      </c>
      <c r="I58" s="6" t="s">
        <v>89</v>
      </c>
      <c r="J58" s="6">
        <v>59</v>
      </c>
      <c r="K58" s="6">
        <v>12</v>
      </c>
      <c r="L58" s="6" t="s">
        <v>124</v>
      </c>
      <c r="M58" s="6" t="s">
        <v>91</v>
      </c>
      <c r="N58" s="6" t="s">
        <v>113</v>
      </c>
      <c r="O58" s="6" t="s">
        <v>102</v>
      </c>
      <c r="P58" s="6" t="s">
        <v>103</v>
      </c>
      <c r="Q58" s="6" t="s">
        <v>95</v>
      </c>
      <c r="R58" s="6" t="s">
        <v>116</v>
      </c>
      <c r="S58" s="6" t="s">
        <v>115</v>
      </c>
      <c r="T58" s="6" t="s">
        <v>115</v>
      </c>
      <c r="U58" s="6" t="s">
        <v>104</v>
      </c>
      <c r="V58" s="6" t="s">
        <v>116</v>
      </c>
      <c r="W58" s="6" t="s">
        <v>116</v>
      </c>
      <c r="X58" s="6" t="s">
        <v>116</v>
      </c>
      <c r="Y58" s="6" t="s">
        <v>104</v>
      </c>
      <c r="Z58" s="6" t="s">
        <v>104</v>
      </c>
      <c r="AA58" s="6" t="s">
        <v>116</v>
      </c>
      <c r="AB58" s="6" t="s">
        <v>95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>
        <v>1</v>
      </c>
      <c r="AP58" s="6"/>
    </row>
    <row r="59" spans="1:42" x14ac:dyDescent="0.45">
      <c r="A59" s="6" t="s">
        <v>192</v>
      </c>
      <c r="B59" s="6">
        <v>59</v>
      </c>
      <c r="C59" s="7">
        <v>46315.828706458327</v>
      </c>
      <c r="D59" s="6" t="s">
        <v>85</v>
      </c>
      <c r="E59" s="6">
        <v>1</v>
      </c>
      <c r="F59" s="6"/>
      <c r="G59" s="6"/>
      <c r="H59" s="6" t="s">
        <v>88</v>
      </c>
      <c r="I59" s="6" t="s">
        <v>89</v>
      </c>
      <c r="J59" s="6">
        <v>37</v>
      </c>
      <c r="K59" s="6">
        <v>4</v>
      </c>
      <c r="L59" s="6" t="s">
        <v>90</v>
      </c>
      <c r="M59" s="6" t="s">
        <v>112</v>
      </c>
      <c r="N59" s="6" t="s">
        <v>92</v>
      </c>
      <c r="O59" s="6" t="s">
        <v>114</v>
      </c>
      <c r="P59" s="6" t="s">
        <v>94</v>
      </c>
      <c r="Q59" s="6" t="s">
        <v>116</v>
      </c>
      <c r="R59" s="6" t="s">
        <v>116</v>
      </c>
      <c r="S59" s="6" t="s">
        <v>95</v>
      </c>
      <c r="T59" s="6" t="s">
        <v>116</v>
      </c>
      <c r="U59" s="6" t="s">
        <v>95</v>
      </c>
      <c r="V59" s="6" t="s">
        <v>116</v>
      </c>
      <c r="W59" s="6" t="s">
        <v>116</v>
      </c>
      <c r="X59" s="6" t="s">
        <v>116</v>
      </c>
      <c r="Y59" s="6" t="s">
        <v>116</v>
      </c>
      <c r="Z59" s="6" t="s">
        <v>95</v>
      </c>
      <c r="AA59" s="6" t="s">
        <v>95</v>
      </c>
      <c r="AB59" s="6" t="s">
        <v>95</v>
      </c>
      <c r="AC59" s="6" t="s">
        <v>95</v>
      </c>
      <c r="AD59" s="6" t="s">
        <v>116</v>
      </c>
      <c r="AE59" s="6" t="s">
        <v>95</v>
      </c>
      <c r="AF59" s="6" t="s">
        <v>95</v>
      </c>
      <c r="AG59" s="6" t="s">
        <v>95</v>
      </c>
      <c r="AH59" s="6" t="s">
        <v>95</v>
      </c>
      <c r="AI59" s="6" t="s">
        <v>95</v>
      </c>
      <c r="AJ59" s="6" t="s">
        <v>95</v>
      </c>
      <c r="AK59" s="6" t="s">
        <v>116</v>
      </c>
      <c r="AL59" s="6" t="s">
        <v>95</v>
      </c>
      <c r="AM59" s="6" t="s">
        <v>95</v>
      </c>
      <c r="AN59" s="6" t="s">
        <v>95</v>
      </c>
      <c r="AO59" s="6">
        <v>1</v>
      </c>
      <c r="AP59" s="6"/>
    </row>
    <row r="60" spans="1:42" x14ac:dyDescent="0.45">
      <c r="A60" s="6" t="s">
        <v>193</v>
      </c>
      <c r="B60" s="6">
        <v>60</v>
      </c>
      <c r="C60" s="7">
        <v>46315.910883993063</v>
      </c>
      <c r="D60" s="6" t="s">
        <v>107</v>
      </c>
      <c r="E60" s="6">
        <v>0</v>
      </c>
      <c r="F60" s="6"/>
      <c r="G60" s="6"/>
      <c r="H60" s="6" t="s">
        <v>110</v>
      </c>
      <c r="I60" s="6" t="s">
        <v>89</v>
      </c>
      <c r="J60" s="6">
        <v>63</v>
      </c>
      <c r="K60" s="6">
        <v>36</v>
      </c>
      <c r="L60" s="6" t="s">
        <v>111</v>
      </c>
      <c r="M60" s="6" t="s">
        <v>91</v>
      </c>
      <c r="N60" s="6" t="s">
        <v>113</v>
      </c>
      <c r="O60" s="6" t="s">
        <v>114</v>
      </c>
      <c r="P60" s="6" t="s">
        <v>94</v>
      </c>
      <c r="Q60" s="6" t="s">
        <v>116</v>
      </c>
      <c r="R60" s="6" t="s">
        <v>116</v>
      </c>
      <c r="S60" s="6" t="s">
        <v>95</v>
      </c>
      <c r="T60" s="6" t="s">
        <v>116</v>
      </c>
      <c r="U60" s="6" t="s">
        <v>95</v>
      </c>
      <c r="V60" s="6" t="s">
        <v>95</v>
      </c>
      <c r="W60" s="6" t="s">
        <v>116</v>
      </c>
      <c r="X60" s="6" t="s">
        <v>95</v>
      </c>
      <c r="Y60" s="6" t="s">
        <v>95</v>
      </c>
      <c r="Z60" s="6" t="s">
        <v>95</v>
      </c>
      <c r="AA60" s="6" t="s">
        <v>116</v>
      </c>
      <c r="AB60" s="6" t="s">
        <v>116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>
        <v>1</v>
      </c>
      <c r="AP60" s="6"/>
    </row>
    <row r="61" spans="1:42" x14ac:dyDescent="0.45">
      <c r="A61" s="6" t="s">
        <v>194</v>
      </c>
      <c r="B61" s="6">
        <v>61</v>
      </c>
      <c r="C61" s="7">
        <v>46315.918867314816</v>
      </c>
      <c r="D61" s="6" t="s">
        <v>107</v>
      </c>
      <c r="E61" s="6">
        <v>0</v>
      </c>
      <c r="F61" s="6"/>
      <c r="G61" s="6"/>
      <c r="H61" s="6" t="s">
        <v>110</v>
      </c>
      <c r="I61" s="6" t="s">
        <v>156</v>
      </c>
      <c r="J61" s="6">
        <v>35</v>
      </c>
      <c r="K61" s="6">
        <v>4</v>
      </c>
      <c r="L61" s="6" t="s">
        <v>124</v>
      </c>
      <c r="M61" s="6" t="s">
        <v>91</v>
      </c>
      <c r="N61" s="6" t="s">
        <v>113</v>
      </c>
      <c r="O61" s="6" t="s">
        <v>114</v>
      </c>
      <c r="P61" s="6" t="s">
        <v>103</v>
      </c>
      <c r="Q61" s="6" t="s">
        <v>95</v>
      </c>
      <c r="R61" s="6" t="s">
        <v>116</v>
      </c>
      <c r="S61" s="6" t="s">
        <v>95</v>
      </c>
      <c r="T61" s="6" t="s">
        <v>116</v>
      </c>
      <c r="U61" s="6" t="s">
        <v>95</v>
      </c>
      <c r="V61" s="6" t="s">
        <v>95</v>
      </c>
      <c r="W61" s="6" t="s">
        <v>116</v>
      </c>
      <c r="X61" s="6" t="s">
        <v>116</v>
      </c>
      <c r="Y61" s="6" t="s">
        <v>116</v>
      </c>
      <c r="Z61" s="6" t="s">
        <v>116</v>
      </c>
      <c r="AA61" s="6" t="s">
        <v>116</v>
      </c>
      <c r="AB61" s="6" t="s">
        <v>95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>
        <v>1</v>
      </c>
      <c r="AP61" s="6"/>
    </row>
    <row r="62" spans="1:42" x14ac:dyDescent="0.45">
      <c r="A62" s="6" t="s">
        <v>195</v>
      </c>
      <c r="B62" s="6">
        <v>62</v>
      </c>
      <c r="C62" s="7">
        <v>46316.403764953713</v>
      </c>
      <c r="D62" s="6" t="s">
        <v>107</v>
      </c>
      <c r="E62" s="6">
        <v>0</v>
      </c>
      <c r="F62" s="6"/>
      <c r="G62" s="6"/>
      <c r="H62" s="6" t="s">
        <v>110</v>
      </c>
      <c r="I62" s="6" t="s">
        <v>89</v>
      </c>
      <c r="J62" s="6">
        <v>32</v>
      </c>
      <c r="K62" s="6">
        <v>2</v>
      </c>
      <c r="L62" s="6" t="s">
        <v>124</v>
      </c>
      <c r="M62" s="6" t="s">
        <v>125</v>
      </c>
      <c r="N62" s="6" t="s">
        <v>113</v>
      </c>
      <c r="O62" s="6" t="s">
        <v>114</v>
      </c>
      <c r="P62" s="6" t="s">
        <v>103</v>
      </c>
      <c r="Q62" s="6" t="s">
        <v>116</v>
      </c>
      <c r="R62" s="6" t="s">
        <v>116</v>
      </c>
      <c r="S62" s="6" t="s">
        <v>116</v>
      </c>
      <c r="T62" s="6" t="s">
        <v>116</v>
      </c>
      <c r="U62" s="6" t="s">
        <v>116</v>
      </c>
      <c r="V62" s="6" t="s">
        <v>116</v>
      </c>
      <c r="W62" s="6" t="s">
        <v>116</v>
      </c>
      <c r="X62" s="6" t="s">
        <v>116</v>
      </c>
      <c r="Y62" s="6" t="s">
        <v>95</v>
      </c>
      <c r="Z62" s="6" t="s">
        <v>95</v>
      </c>
      <c r="AA62" s="6" t="s">
        <v>95</v>
      </c>
      <c r="AB62" s="6" t="s">
        <v>95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>
        <v>1</v>
      </c>
      <c r="AP62" s="6"/>
    </row>
    <row r="63" spans="1:42" x14ac:dyDescent="0.45">
      <c r="A63" s="6" t="s">
        <v>196</v>
      </c>
      <c r="B63" s="6">
        <v>63</v>
      </c>
      <c r="C63" s="7">
        <v>46316.411223344912</v>
      </c>
      <c r="D63" s="6" t="s">
        <v>85</v>
      </c>
      <c r="E63" s="6">
        <v>1</v>
      </c>
      <c r="F63" s="6"/>
      <c r="G63" s="6"/>
      <c r="H63" s="6" t="s">
        <v>88</v>
      </c>
      <c r="I63" s="6" t="s">
        <v>89</v>
      </c>
      <c r="J63" s="6">
        <v>46</v>
      </c>
      <c r="K63" s="6">
        <v>6</v>
      </c>
      <c r="L63" s="6" t="s">
        <v>90</v>
      </c>
      <c r="M63" s="6" t="s">
        <v>125</v>
      </c>
      <c r="N63" s="6" t="s">
        <v>92</v>
      </c>
      <c r="O63" s="6" t="s">
        <v>135</v>
      </c>
      <c r="P63" s="6" t="s">
        <v>94</v>
      </c>
      <c r="Q63" s="6" t="s">
        <v>95</v>
      </c>
      <c r="R63" s="6" t="s">
        <v>95</v>
      </c>
      <c r="S63" s="6" t="s">
        <v>116</v>
      </c>
      <c r="T63" s="6" t="s">
        <v>115</v>
      </c>
      <c r="U63" s="6" t="s">
        <v>115</v>
      </c>
      <c r="V63" s="6" t="s">
        <v>115</v>
      </c>
      <c r="W63" s="6" t="s">
        <v>95</v>
      </c>
      <c r="X63" s="6" t="s">
        <v>95</v>
      </c>
      <c r="Y63" s="6" t="s">
        <v>115</v>
      </c>
      <c r="Z63" s="6" t="s">
        <v>115</v>
      </c>
      <c r="AA63" s="6" t="s">
        <v>115</v>
      </c>
      <c r="AB63" s="6" t="s">
        <v>115</v>
      </c>
      <c r="AC63" s="6" t="s">
        <v>95</v>
      </c>
      <c r="AD63" s="6" t="s">
        <v>95</v>
      </c>
      <c r="AE63" s="6" t="s">
        <v>95</v>
      </c>
      <c r="AF63" s="6" t="s">
        <v>116</v>
      </c>
      <c r="AG63" s="6" t="s">
        <v>116</v>
      </c>
      <c r="AH63" s="6" t="s">
        <v>116</v>
      </c>
      <c r="AI63" s="6" t="s">
        <v>116</v>
      </c>
      <c r="AJ63" s="6" t="s">
        <v>104</v>
      </c>
      <c r="AK63" s="6" t="s">
        <v>104</v>
      </c>
      <c r="AL63" s="6" t="s">
        <v>104</v>
      </c>
      <c r="AM63" s="6" t="s">
        <v>104</v>
      </c>
      <c r="AN63" s="6" t="s">
        <v>116</v>
      </c>
      <c r="AO63" s="6">
        <v>1</v>
      </c>
      <c r="AP63" s="6"/>
    </row>
    <row r="64" spans="1:42" x14ac:dyDescent="0.45">
      <c r="A64" s="6" t="s">
        <v>197</v>
      </c>
      <c r="B64" s="6">
        <v>64</v>
      </c>
      <c r="C64" s="7">
        <v>46316.471167303243</v>
      </c>
      <c r="D64" s="6" t="s">
        <v>107</v>
      </c>
      <c r="E64" s="6">
        <v>0</v>
      </c>
      <c r="F64" s="6"/>
      <c r="G64" s="6"/>
      <c r="H64" s="6" t="s">
        <v>110</v>
      </c>
      <c r="I64" s="6" t="s">
        <v>89</v>
      </c>
      <c r="J64" s="6">
        <v>61</v>
      </c>
      <c r="K64" s="6">
        <v>30</v>
      </c>
      <c r="L64" s="6" t="s">
        <v>111</v>
      </c>
      <c r="M64" s="6" t="s">
        <v>125</v>
      </c>
      <c r="N64" s="6" t="s">
        <v>113</v>
      </c>
      <c r="O64" s="6" t="s">
        <v>114</v>
      </c>
      <c r="P64" s="6" t="s">
        <v>103</v>
      </c>
      <c r="Q64" s="6" t="s">
        <v>116</v>
      </c>
      <c r="R64" s="6" t="s">
        <v>116</v>
      </c>
      <c r="S64" s="6" t="s">
        <v>95</v>
      </c>
      <c r="T64" s="6" t="s">
        <v>116</v>
      </c>
      <c r="U64" s="6" t="s">
        <v>116</v>
      </c>
      <c r="V64" s="6" t="s">
        <v>95</v>
      </c>
      <c r="W64" s="6" t="s">
        <v>116</v>
      </c>
      <c r="X64" s="6" t="s">
        <v>116</v>
      </c>
      <c r="Y64" s="6" t="s">
        <v>95</v>
      </c>
      <c r="Z64" s="6" t="s">
        <v>116</v>
      </c>
      <c r="AA64" s="6" t="s">
        <v>116</v>
      </c>
      <c r="AB64" s="6" t="s">
        <v>116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>
        <v>1</v>
      </c>
      <c r="AP64" s="6"/>
    </row>
    <row r="65" spans="1:42" x14ac:dyDescent="0.45">
      <c r="A65" s="6" t="s">
        <v>198</v>
      </c>
      <c r="B65" s="6">
        <v>65</v>
      </c>
      <c r="C65" s="7">
        <v>46316.598756736108</v>
      </c>
      <c r="D65" s="6" t="s">
        <v>107</v>
      </c>
      <c r="E65" s="6">
        <v>0</v>
      </c>
      <c r="F65" s="6"/>
      <c r="G65" s="6"/>
      <c r="H65" s="6" t="s">
        <v>88</v>
      </c>
      <c r="I65" s="6" t="s">
        <v>89</v>
      </c>
      <c r="J65" s="6">
        <v>39</v>
      </c>
      <c r="K65" s="6">
        <v>2</v>
      </c>
      <c r="L65" s="6" t="s">
        <v>90</v>
      </c>
      <c r="M65" s="6" t="s">
        <v>91</v>
      </c>
      <c r="N65" s="6" t="s">
        <v>92</v>
      </c>
      <c r="O65" s="6" t="s">
        <v>114</v>
      </c>
      <c r="P65" s="6" t="s">
        <v>103</v>
      </c>
      <c r="Q65" s="6" t="s">
        <v>116</v>
      </c>
      <c r="R65" s="6" t="s">
        <v>116</v>
      </c>
      <c r="S65" s="6" t="s">
        <v>116</v>
      </c>
      <c r="T65" s="6" t="s">
        <v>116</v>
      </c>
      <c r="U65" s="6" t="s">
        <v>95</v>
      </c>
      <c r="V65" s="6" t="s">
        <v>115</v>
      </c>
      <c r="W65" s="6" t="s">
        <v>116</v>
      </c>
      <c r="X65" s="6" t="s">
        <v>95</v>
      </c>
      <c r="Y65" s="6" t="s">
        <v>116</v>
      </c>
      <c r="Z65" s="6" t="s">
        <v>116</v>
      </c>
      <c r="AA65" s="6" t="s">
        <v>116</v>
      </c>
      <c r="AB65" s="6" t="s">
        <v>116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>
        <v>1</v>
      </c>
      <c r="AP65" s="6"/>
    </row>
    <row r="66" spans="1:42" x14ac:dyDescent="0.45">
      <c r="A66" s="6" t="s">
        <v>199</v>
      </c>
      <c r="B66" s="6">
        <v>66</v>
      </c>
      <c r="C66" s="7">
        <v>46316.611226701389</v>
      </c>
      <c r="D66" s="6" t="s">
        <v>85</v>
      </c>
      <c r="E66" s="6">
        <v>1</v>
      </c>
      <c r="F66" s="6"/>
      <c r="G66" s="6"/>
      <c r="H66" s="6" t="s">
        <v>110</v>
      </c>
      <c r="I66" s="6" t="s">
        <v>89</v>
      </c>
      <c r="J66" s="6">
        <v>53</v>
      </c>
      <c r="K66" s="6">
        <v>23</v>
      </c>
      <c r="L66" s="6" t="s">
        <v>124</v>
      </c>
      <c r="M66" s="6" t="s">
        <v>125</v>
      </c>
      <c r="N66" s="6" t="s">
        <v>92</v>
      </c>
      <c r="O66" s="6" t="s">
        <v>114</v>
      </c>
      <c r="P66" s="6" t="s">
        <v>94</v>
      </c>
      <c r="Q66" s="6" t="s">
        <v>95</v>
      </c>
      <c r="R66" s="6" t="s">
        <v>116</v>
      </c>
      <c r="S66" s="6" t="s">
        <v>95</v>
      </c>
      <c r="T66" s="6" t="s">
        <v>95</v>
      </c>
      <c r="U66" s="6" t="s">
        <v>95</v>
      </c>
      <c r="V66" s="6" t="s">
        <v>95</v>
      </c>
      <c r="W66" s="6" t="s">
        <v>116</v>
      </c>
      <c r="X66" s="6" t="s">
        <v>116</v>
      </c>
      <c r="Y66" s="6" t="s">
        <v>95</v>
      </c>
      <c r="Z66" s="6" t="s">
        <v>95</v>
      </c>
      <c r="AA66" s="6" t="s">
        <v>104</v>
      </c>
      <c r="AB66" s="6" t="s">
        <v>115</v>
      </c>
      <c r="AC66" s="6" t="s">
        <v>116</v>
      </c>
      <c r="AD66" s="6" t="s">
        <v>139</v>
      </c>
      <c r="AE66" s="6" t="s">
        <v>104</v>
      </c>
      <c r="AF66" s="6" t="s">
        <v>95</v>
      </c>
      <c r="AG66" s="6" t="s">
        <v>95</v>
      </c>
      <c r="AH66" s="6" t="s">
        <v>95</v>
      </c>
      <c r="AI66" s="6" t="s">
        <v>116</v>
      </c>
      <c r="AJ66" s="6" t="s">
        <v>95</v>
      </c>
      <c r="AK66" s="6" t="s">
        <v>115</v>
      </c>
      <c r="AL66" s="6" t="s">
        <v>115</v>
      </c>
      <c r="AM66" s="6" t="s">
        <v>95</v>
      </c>
      <c r="AN66" s="6" t="s">
        <v>95</v>
      </c>
      <c r="AO66" s="6">
        <v>1</v>
      </c>
      <c r="AP66" s="6"/>
    </row>
    <row r="67" spans="1:42" x14ac:dyDescent="0.45">
      <c r="A67" s="6" t="s">
        <v>200</v>
      </c>
      <c r="B67" s="6">
        <v>67</v>
      </c>
      <c r="C67" s="7">
        <v>46316.635689212962</v>
      </c>
      <c r="D67" s="6" t="s">
        <v>107</v>
      </c>
      <c r="E67" s="6">
        <v>0</v>
      </c>
      <c r="F67" s="6"/>
      <c r="G67" s="6"/>
      <c r="H67" s="6" t="s">
        <v>110</v>
      </c>
      <c r="I67" s="6" t="s">
        <v>156</v>
      </c>
      <c r="J67" s="6">
        <v>50</v>
      </c>
      <c r="K67" s="6">
        <v>26</v>
      </c>
      <c r="L67" s="6" t="s">
        <v>90</v>
      </c>
      <c r="M67" s="6" t="s">
        <v>100</v>
      </c>
      <c r="N67" s="6" t="s">
        <v>113</v>
      </c>
      <c r="O67" s="6" t="s">
        <v>114</v>
      </c>
      <c r="P67" s="6" t="s">
        <v>129</v>
      </c>
      <c r="Q67" s="6" t="s">
        <v>95</v>
      </c>
      <c r="R67" s="6" t="s">
        <v>95</v>
      </c>
      <c r="S67" s="6" t="s">
        <v>95</v>
      </c>
      <c r="T67" s="6" t="s">
        <v>95</v>
      </c>
      <c r="U67" s="6" t="s">
        <v>95</v>
      </c>
      <c r="V67" s="6" t="s">
        <v>95</v>
      </c>
      <c r="W67" s="6" t="s">
        <v>95</v>
      </c>
      <c r="X67" s="6" t="s">
        <v>95</v>
      </c>
      <c r="Y67" s="6" t="s">
        <v>104</v>
      </c>
      <c r="Z67" s="6" t="s">
        <v>116</v>
      </c>
      <c r="AA67" s="6" t="s">
        <v>116</v>
      </c>
      <c r="AB67" s="6" t="s">
        <v>116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>
        <v>1</v>
      </c>
      <c r="AP67" s="6"/>
    </row>
    <row r="68" spans="1:42" x14ac:dyDescent="0.45">
      <c r="A68" s="6" t="s">
        <v>201</v>
      </c>
      <c r="B68" s="6">
        <v>68</v>
      </c>
      <c r="C68" s="7">
        <v>46316.674914097217</v>
      </c>
      <c r="D68" s="6" t="s">
        <v>107</v>
      </c>
      <c r="E68" s="6">
        <v>0</v>
      </c>
      <c r="F68" s="6"/>
      <c r="G68" s="6"/>
      <c r="H68" s="6" t="s">
        <v>110</v>
      </c>
      <c r="I68" s="6" t="s">
        <v>89</v>
      </c>
      <c r="J68" s="6">
        <v>54</v>
      </c>
      <c r="K68" s="6">
        <v>5</v>
      </c>
      <c r="L68" s="6" t="s">
        <v>124</v>
      </c>
      <c r="M68" s="6" t="s">
        <v>91</v>
      </c>
      <c r="N68" s="6" t="s">
        <v>113</v>
      </c>
      <c r="O68" s="6" t="s">
        <v>114</v>
      </c>
      <c r="P68" s="6" t="s">
        <v>103</v>
      </c>
      <c r="Q68" s="6" t="s">
        <v>95</v>
      </c>
      <c r="R68" s="6" t="s">
        <v>104</v>
      </c>
      <c r="S68" s="6" t="s">
        <v>116</v>
      </c>
      <c r="T68" s="6" t="s">
        <v>116</v>
      </c>
      <c r="U68" s="6" t="s">
        <v>116</v>
      </c>
      <c r="V68" s="6" t="s">
        <v>116</v>
      </c>
      <c r="W68" s="6" t="s">
        <v>116</v>
      </c>
      <c r="X68" s="6" t="s">
        <v>104</v>
      </c>
      <c r="Y68" s="6" t="s">
        <v>104</v>
      </c>
      <c r="Z68" s="6" t="s">
        <v>104</v>
      </c>
      <c r="AA68" s="6" t="s">
        <v>104</v>
      </c>
      <c r="AB68" s="6" t="s">
        <v>104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>
        <v>1</v>
      </c>
      <c r="AP68" s="6"/>
    </row>
    <row r="69" spans="1:42" x14ac:dyDescent="0.45">
      <c r="A69" s="6" t="s">
        <v>202</v>
      </c>
      <c r="B69" s="6">
        <v>69</v>
      </c>
      <c r="C69" s="7">
        <v>46316.749174502307</v>
      </c>
      <c r="D69" s="6" t="s">
        <v>107</v>
      </c>
      <c r="E69" s="6">
        <v>0</v>
      </c>
      <c r="F69" s="6"/>
      <c r="G69" s="6"/>
      <c r="H69" s="6" t="s">
        <v>88</v>
      </c>
      <c r="I69" s="6" t="s">
        <v>89</v>
      </c>
      <c r="J69" s="6">
        <v>45</v>
      </c>
      <c r="K69" s="6">
        <v>21</v>
      </c>
      <c r="L69" s="6" t="s">
        <v>90</v>
      </c>
      <c r="M69" s="6" t="s">
        <v>125</v>
      </c>
      <c r="N69" s="6" t="s">
        <v>113</v>
      </c>
      <c r="O69" s="6" t="s">
        <v>114</v>
      </c>
      <c r="P69" s="6" t="s">
        <v>94</v>
      </c>
      <c r="Q69" s="6" t="s">
        <v>95</v>
      </c>
      <c r="R69" s="6" t="s">
        <v>95</v>
      </c>
      <c r="S69" s="6" t="s">
        <v>95</v>
      </c>
      <c r="T69" s="6" t="s">
        <v>116</v>
      </c>
      <c r="U69" s="6" t="s">
        <v>116</v>
      </c>
      <c r="V69" s="6" t="s">
        <v>115</v>
      </c>
      <c r="W69" s="6" t="s">
        <v>115</v>
      </c>
      <c r="X69" s="6" t="s">
        <v>95</v>
      </c>
      <c r="Y69" s="6" t="s">
        <v>104</v>
      </c>
      <c r="Z69" s="6" t="s">
        <v>104</v>
      </c>
      <c r="AA69" s="6" t="s">
        <v>104</v>
      </c>
      <c r="AB69" s="6" t="s">
        <v>104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>
        <v>1</v>
      </c>
      <c r="AP69" s="6"/>
    </row>
    <row r="70" spans="1:42" x14ac:dyDescent="0.45">
      <c r="A70" s="6" t="s">
        <v>203</v>
      </c>
      <c r="B70" s="6">
        <v>70</v>
      </c>
      <c r="C70" s="7">
        <v>46316.763405682868</v>
      </c>
      <c r="D70" s="6" t="s">
        <v>107</v>
      </c>
      <c r="E70" s="6">
        <v>0</v>
      </c>
      <c r="F70" s="6"/>
      <c r="G70" s="6"/>
      <c r="H70" s="6" t="s">
        <v>110</v>
      </c>
      <c r="I70" s="6" t="s">
        <v>89</v>
      </c>
      <c r="J70" s="6">
        <v>67</v>
      </c>
      <c r="K70" s="6">
        <v>10</v>
      </c>
      <c r="L70" s="6" t="s">
        <v>124</v>
      </c>
      <c r="M70" s="6" t="s">
        <v>125</v>
      </c>
      <c r="N70" s="6" t="s">
        <v>113</v>
      </c>
      <c r="O70" s="6" t="s">
        <v>114</v>
      </c>
      <c r="P70" s="6" t="s">
        <v>94</v>
      </c>
      <c r="Q70" s="6" t="s">
        <v>95</v>
      </c>
      <c r="R70" s="6" t="s">
        <v>116</v>
      </c>
      <c r="S70" s="6" t="s">
        <v>115</v>
      </c>
      <c r="T70" s="6" t="s">
        <v>95</v>
      </c>
      <c r="U70" s="6" t="s">
        <v>115</v>
      </c>
      <c r="V70" s="6" t="s">
        <v>95</v>
      </c>
      <c r="W70" s="6" t="s">
        <v>116</v>
      </c>
      <c r="X70" s="6" t="s">
        <v>95</v>
      </c>
      <c r="Y70" s="6" t="s">
        <v>116</v>
      </c>
      <c r="Z70" s="6" t="s">
        <v>116</v>
      </c>
      <c r="AA70" s="6" t="s">
        <v>116</v>
      </c>
      <c r="AB70" s="6" t="s">
        <v>95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>
        <v>1</v>
      </c>
      <c r="AP70" s="6"/>
    </row>
    <row r="71" spans="1:42" x14ac:dyDescent="0.45">
      <c r="A71" s="6" t="s">
        <v>204</v>
      </c>
      <c r="B71" s="6">
        <v>71</v>
      </c>
      <c r="C71" s="7">
        <v>46317.527988657414</v>
      </c>
      <c r="D71" s="6" t="s">
        <v>85</v>
      </c>
      <c r="E71" s="6">
        <v>1</v>
      </c>
      <c r="F71" s="6"/>
      <c r="G71" s="6"/>
      <c r="H71" s="6" t="s">
        <v>88</v>
      </c>
      <c r="I71" s="6" t="s">
        <v>89</v>
      </c>
      <c r="J71" s="6">
        <v>33</v>
      </c>
      <c r="K71" s="6">
        <v>6</v>
      </c>
      <c r="L71" s="6" t="s">
        <v>124</v>
      </c>
      <c r="M71" s="6" t="s">
        <v>91</v>
      </c>
      <c r="N71" s="6" t="s">
        <v>92</v>
      </c>
      <c r="O71" s="6" t="s">
        <v>135</v>
      </c>
      <c r="P71" s="6" t="s">
        <v>94</v>
      </c>
      <c r="Q71" s="6" t="s">
        <v>104</v>
      </c>
      <c r="R71" s="6" t="s">
        <v>104</v>
      </c>
      <c r="S71" s="6" t="s">
        <v>104</v>
      </c>
      <c r="T71" s="6" t="s">
        <v>104</v>
      </c>
      <c r="U71" s="6" t="s">
        <v>116</v>
      </c>
      <c r="V71" s="6" t="s">
        <v>115</v>
      </c>
      <c r="W71" s="6" t="s">
        <v>95</v>
      </c>
      <c r="X71" s="6" t="s">
        <v>104</v>
      </c>
      <c r="Y71" s="6" t="s">
        <v>116</v>
      </c>
      <c r="Z71" s="6" t="s">
        <v>104</v>
      </c>
      <c r="AA71" s="6" t="s">
        <v>104</v>
      </c>
      <c r="AB71" s="6" t="s">
        <v>104</v>
      </c>
      <c r="AC71" s="6" t="s">
        <v>139</v>
      </c>
      <c r="AD71" s="6" t="s">
        <v>95</v>
      </c>
      <c r="AE71" s="6" t="s">
        <v>95</v>
      </c>
      <c r="AF71" s="6" t="s">
        <v>95</v>
      </c>
      <c r="AG71" s="6" t="s">
        <v>95</v>
      </c>
      <c r="AH71" s="6" t="s">
        <v>95</v>
      </c>
      <c r="AI71" s="6" t="s">
        <v>95</v>
      </c>
      <c r="AJ71" s="6" t="s">
        <v>116</v>
      </c>
      <c r="AK71" s="6" t="s">
        <v>95</v>
      </c>
      <c r="AL71" s="6" t="s">
        <v>116</v>
      </c>
      <c r="AM71" s="6" t="s">
        <v>116</v>
      </c>
      <c r="AN71" s="6" t="s">
        <v>116</v>
      </c>
      <c r="AO71" s="6">
        <v>1</v>
      </c>
      <c r="AP71" s="6"/>
    </row>
    <row r="72" spans="1:42" x14ac:dyDescent="0.45">
      <c r="A72" s="6" t="s">
        <v>205</v>
      </c>
      <c r="B72" s="6">
        <v>72</v>
      </c>
      <c r="C72" s="7">
        <v>46318.398230752318</v>
      </c>
      <c r="D72" s="6" t="s">
        <v>85</v>
      </c>
      <c r="E72" s="6">
        <v>1</v>
      </c>
      <c r="F72" s="6"/>
      <c r="G72" s="6"/>
      <c r="H72" s="6" t="s">
        <v>110</v>
      </c>
      <c r="I72" s="6" t="s">
        <v>89</v>
      </c>
      <c r="J72" s="6">
        <v>54</v>
      </c>
      <c r="K72" s="6">
        <v>18</v>
      </c>
      <c r="L72" s="6" t="s">
        <v>111</v>
      </c>
      <c r="M72" s="6" t="s">
        <v>125</v>
      </c>
      <c r="N72" s="6" t="s">
        <v>131</v>
      </c>
      <c r="O72" s="6" t="s">
        <v>93</v>
      </c>
      <c r="P72" s="6" t="s">
        <v>103</v>
      </c>
      <c r="Q72" s="6" t="s">
        <v>116</v>
      </c>
      <c r="R72" s="6" t="s">
        <v>104</v>
      </c>
      <c r="S72" s="6" t="s">
        <v>116</v>
      </c>
      <c r="T72" s="6" t="s">
        <v>104</v>
      </c>
      <c r="U72" s="6" t="s">
        <v>104</v>
      </c>
      <c r="V72" s="6" t="s">
        <v>104</v>
      </c>
      <c r="W72" s="6" t="s">
        <v>104</v>
      </c>
      <c r="X72" s="6" t="s">
        <v>104</v>
      </c>
      <c r="Y72" s="6" t="s">
        <v>95</v>
      </c>
      <c r="Z72" s="6" t="s">
        <v>95</v>
      </c>
      <c r="AA72" s="6" t="s">
        <v>95</v>
      </c>
      <c r="AB72" s="6" t="s">
        <v>95</v>
      </c>
      <c r="AC72" s="6" t="s">
        <v>116</v>
      </c>
      <c r="AD72" s="6" t="s">
        <v>116</v>
      </c>
      <c r="AE72" s="6" t="s">
        <v>116</v>
      </c>
      <c r="AF72" s="6" t="s">
        <v>116</v>
      </c>
      <c r="AG72" s="6" t="s">
        <v>116</v>
      </c>
      <c r="AH72" s="6" t="s">
        <v>116</v>
      </c>
      <c r="AI72" s="6" t="s">
        <v>116</v>
      </c>
      <c r="AJ72" s="6" t="s">
        <v>116</v>
      </c>
      <c r="AK72" s="6" t="s">
        <v>116</v>
      </c>
      <c r="AL72" s="6" t="s">
        <v>116</v>
      </c>
      <c r="AM72" s="6" t="s">
        <v>116</v>
      </c>
      <c r="AN72" s="6" t="s">
        <v>116</v>
      </c>
      <c r="AO72" s="6">
        <v>1</v>
      </c>
      <c r="AP72" s="6"/>
    </row>
    <row r="73" spans="1:42" x14ac:dyDescent="0.45">
      <c r="A73" s="6" t="s">
        <v>206</v>
      </c>
      <c r="B73" s="6">
        <v>73</v>
      </c>
      <c r="C73" s="7">
        <v>46318.445597372687</v>
      </c>
      <c r="D73" s="6" t="s">
        <v>85</v>
      </c>
      <c r="E73" s="6">
        <v>1</v>
      </c>
      <c r="F73" s="6"/>
      <c r="G73" s="6"/>
      <c r="H73" s="6" t="s">
        <v>110</v>
      </c>
      <c r="I73" s="6" t="s">
        <v>89</v>
      </c>
      <c r="J73" s="6">
        <v>53</v>
      </c>
      <c r="K73" s="6">
        <v>25</v>
      </c>
      <c r="L73" s="6" t="s">
        <v>207</v>
      </c>
      <c r="M73" s="6" t="s">
        <v>91</v>
      </c>
      <c r="N73" s="6" t="s">
        <v>113</v>
      </c>
      <c r="O73" s="6" t="s">
        <v>114</v>
      </c>
      <c r="P73" s="6" t="s">
        <v>171</v>
      </c>
      <c r="Q73" s="6" t="s">
        <v>116</v>
      </c>
      <c r="R73" s="6" t="s">
        <v>116</v>
      </c>
      <c r="S73" s="6" t="s">
        <v>116</v>
      </c>
      <c r="T73" s="6" t="s">
        <v>116</v>
      </c>
      <c r="U73" s="6" t="s">
        <v>116</v>
      </c>
      <c r="V73" s="6" t="s">
        <v>116</v>
      </c>
      <c r="W73" s="6" t="s">
        <v>116</v>
      </c>
      <c r="X73" s="6" t="s">
        <v>104</v>
      </c>
      <c r="Y73" s="6" t="s">
        <v>115</v>
      </c>
      <c r="Z73" s="6" t="s">
        <v>115</v>
      </c>
      <c r="AA73" s="6" t="s">
        <v>115</v>
      </c>
      <c r="AB73" s="6" t="s">
        <v>115</v>
      </c>
      <c r="AC73" s="6" t="s">
        <v>116</v>
      </c>
      <c r="AD73" s="6" t="s">
        <v>116</v>
      </c>
      <c r="AE73" s="6" t="s">
        <v>116</v>
      </c>
      <c r="AF73" s="6" t="s">
        <v>116</v>
      </c>
      <c r="AG73" s="6" t="s">
        <v>116</v>
      </c>
      <c r="AH73" s="6" t="s">
        <v>116</v>
      </c>
      <c r="AI73" s="6" t="s">
        <v>116</v>
      </c>
      <c r="AJ73" s="6" t="s">
        <v>116</v>
      </c>
      <c r="AK73" s="6" t="s">
        <v>95</v>
      </c>
      <c r="AL73" s="6" t="s">
        <v>116</v>
      </c>
      <c r="AM73" s="6" t="s">
        <v>116</v>
      </c>
      <c r="AN73" s="6" t="s">
        <v>95</v>
      </c>
      <c r="AO73" s="6">
        <v>1</v>
      </c>
      <c r="AP73" s="6"/>
    </row>
    <row r="74" spans="1:42" x14ac:dyDescent="0.45">
      <c r="A74" s="6" t="s">
        <v>208</v>
      </c>
      <c r="B74" s="6">
        <v>74</v>
      </c>
      <c r="C74" s="7">
        <v>46318.486321400473</v>
      </c>
      <c r="D74" s="6" t="s">
        <v>107</v>
      </c>
      <c r="E74" s="6">
        <v>0</v>
      </c>
      <c r="F74" s="6"/>
      <c r="G74" s="6"/>
      <c r="H74" s="6" t="s">
        <v>88</v>
      </c>
      <c r="I74" s="6" t="s">
        <v>89</v>
      </c>
      <c r="J74" s="6">
        <v>37</v>
      </c>
      <c r="K74" s="6">
        <v>2</v>
      </c>
      <c r="L74" s="6" t="s">
        <v>209</v>
      </c>
      <c r="M74" s="6" t="s">
        <v>125</v>
      </c>
      <c r="N74" s="6" t="s">
        <v>113</v>
      </c>
      <c r="O74" s="6" t="s">
        <v>135</v>
      </c>
      <c r="P74" s="6" t="s">
        <v>129</v>
      </c>
      <c r="Q74" s="6" t="s">
        <v>139</v>
      </c>
      <c r="R74" s="6" t="s">
        <v>104</v>
      </c>
      <c r="S74" s="6" t="s">
        <v>95</v>
      </c>
      <c r="T74" s="6" t="s">
        <v>139</v>
      </c>
      <c r="U74" s="6" t="s">
        <v>104</v>
      </c>
      <c r="V74" s="6" t="s">
        <v>115</v>
      </c>
      <c r="W74" s="6" t="s">
        <v>95</v>
      </c>
      <c r="X74" s="6" t="s">
        <v>115</v>
      </c>
      <c r="Y74" s="6" t="s">
        <v>104</v>
      </c>
      <c r="Z74" s="6" t="s">
        <v>104</v>
      </c>
      <c r="AA74" s="6" t="s">
        <v>104</v>
      </c>
      <c r="AB74" s="6" t="s">
        <v>116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>
        <v>1</v>
      </c>
      <c r="AP74" s="6"/>
    </row>
  </sheetData>
  <autoFilter ref="A1:AP74" xr:uid="{00000000-0009-0000-0000-000001000000}"/>
  <phoneticPr fontId="7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7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9.33203125" customWidth="1"/>
    <col min="2" max="2" width="7.6640625" customWidth="1"/>
    <col min="3" max="3" width="7.25" customWidth="1"/>
    <col min="4" max="8" width="8.9140625" customWidth="1"/>
    <col min="9" max="9" width="19.33203125" customWidth="1"/>
    <col min="10" max="11" width="12.75" customWidth="1"/>
    <col min="12" max="12" width="28" customWidth="1"/>
    <col min="13" max="14" width="12.75" customWidth="1"/>
    <col min="15" max="38" width="6" customWidth="1"/>
    <col min="39" max="39" width="9.33203125" customWidth="1"/>
    <col min="40" max="40" width="12.75" customWidth="1"/>
    <col min="41" max="41" width="14.6640625" customWidth="1"/>
    <col min="42" max="42" width="12.75" customWidth="1"/>
    <col min="43" max="43" width="16.58203125" customWidth="1"/>
    <col min="44" max="44" width="14.6640625" customWidth="1"/>
    <col min="45" max="45" width="11.6640625" customWidth="1"/>
    <col min="46" max="46" width="20.75" customWidth="1"/>
    <col min="47" max="47" width="22.6640625" customWidth="1"/>
    <col min="48" max="48" width="18.83203125" customWidth="1"/>
    <col min="49" max="49" width="22.6640625" customWidth="1"/>
    <col min="50" max="51" width="9.33203125" customWidth="1"/>
    <col min="52" max="52" width="10.4140625" customWidth="1"/>
    <col min="53" max="53" width="9.33203125" customWidth="1"/>
    <col min="54" max="54" width="28" customWidth="1"/>
  </cols>
  <sheetData>
    <row r="1" spans="1:54" x14ac:dyDescent="0.45">
      <c r="A1" s="4" t="s">
        <v>42</v>
      </c>
      <c r="B1" s="4" t="s">
        <v>43</v>
      </c>
      <c r="C1" s="4" t="s">
        <v>46</v>
      </c>
      <c r="D1" s="4" t="s">
        <v>210</v>
      </c>
      <c r="E1" s="4" t="s">
        <v>211</v>
      </c>
      <c r="F1" s="4" t="s">
        <v>212</v>
      </c>
      <c r="G1" s="4" t="s">
        <v>213</v>
      </c>
      <c r="H1" s="4" t="s">
        <v>214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219</v>
      </c>
      <c r="N1" s="4" t="s">
        <v>220</v>
      </c>
      <c r="O1" s="4" t="s">
        <v>221</v>
      </c>
      <c r="P1" s="4" t="s">
        <v>222</v>
      </c>
      <c r="Q1" s="4" t="s">
        <v>223</v>
      </c>
      <c r="R1" s="4" t="s">
        <v>224</v>
      </c>
      <c r="S1" s="4" t="s">
        <v>225</v>
      </c>
      <c r="T1" s="4" t="s">
        <v>226</v>
      </c>
      <c r="U1" s="4" t="s">
        <v>227</v>
      </c>
      <c r="V1" s="4" t="s">
        <v>228</v>
      </c>
      <c r="W1" s="4" t="s">
        <v>229</v>
      </c>
      <c r="X1" s="4" t="s">
        <v>230</v>
      </c>
      <c r="Y1" s="4" t="s">
        <v>231</v>
      </c>
      <c r="Z1" s="4" t="s">
        <v>232</v>
      </c>
      <c r="AA1" s="4" t="s">
        <v>233</v>
      </c>
      <c r="AB1" s="4" t="s">
        <v>234</v>
      </c>
      <c r="AC1" s="4" t="s">
        <v>235</v>
      </c>
      <c r="AD1" s="4" t="s">
        <v>236</v>
      </c>
      <c r="AE1" s="4" t="s">
        <v>237</v>
      </c>
      <c r="AF1" s="4" t="s">
        <v>238</v>
      </c>
      <c r="AG1" s="4" t="s">
        <v>239</v>
      </c>
      <c r="AH1" s="4" t="s">
        <v>240</v>
      </c>
      <c r="AI1" s="4" t="s">
        <v>241</v>
      </c>
      <c r="AJ1" s="4" t="s">
        <v>242</v>
      </c>
      <c r="AK1" s="4" t="s">
        <v>243</v>
      </c>
      <c r="AL1" s="4" t="s">
        <v>244</v>
      </c>
      <c r="AM1" s="4" t="s">
        <v>245</v>
      </c>
      <c r="AN1" s="4" t="s">
        <v>246</v>
      </c>
      <c r="AO1" s="4" t="s">
        <v>247</v>
      </c>
      <c r="AP1" s="4" t="s">
        <v>248</v>
      </c>
      <c r="AQ1" s="4" t="s">
        <v>249</v>
      </c>
      <c r="AR1" s="4" t="s">
        <v>250</v>
      </c>
      <c r="AS1" s="4" t="s">
        <v>251</v>
      </c>
      <c r="AT1" s="4" t="s">
        <v>252</v>
      </c>
      <c r="AU1" s="4" t="s">
        <v>253</v>
      </c>
      <c r="AV1" s="4" t="s">
        <v>254</v>
      </c>
      <c r="AW1" s="4" t="s">
        <v>255</v>
      </c>
      <c r="AX1" s="4" t="s">
        <v>256</v>
      </c>
      <c r="AY1" s="4" t="s">
        <v>257</v>
      </c>
      <c r="AZ1" s="4" t="s">
        <v>258</v>
      </c>
      <c r="BA1" s="4" t="s">
        <v>82</v>
      </c>
      <c r="BB1" s="4" t="s">
        <v>83</v>
      </c>
    </row>
    <row r="2" spans="1:54" x14ac:dyDescent="0.45">
      <c r="A2" s="6" t="s">
        <v>84</v>
      </c>
      <c r="B2" s="6">
        <v>2</v>
      </c>
      <c r="C2" s="6">
        <v>1</v>
      </c>
      <c r="D2" s="6">
        <v>2</v>
      </c>
      <c r="E2" s="6">
        <v>1</v>
      </c>
      <c r="F2" s="6">
        <v>34</v>
      </c>
      <c r="G2" s="6">
        <v>6</v>
      </c>
      <c r="H2" s="6">
        <v>1</v>
      </c>
      <c r="I2" s="6"/>
      <c r="J2" s="6">
        <v>3</v>
      </c>
      <c r="K2" s="6">
        <v>3</v>
      </c>
      <c r="L2" s="6"/>
      <c r="M2" s="6">
        <v>3</v>
      </c>
      <c r="N2" s="6">
        <v>2</v>
      </c>
      <c r="O2" s="6">
        <v>3</v>
      </c>
      <c r="P2" s="6">
        <v>3</v>
      </c>
      <c r="Q2" s="6">
        <v>3</v>
      </c>
      <c r="R2" s="6">
        <v>3</v>
      </c>
      <c r="S2" s="6">
        <v>3</v>
      </c>
      <c r="T2" s="6">
        <v>3</v>
      </c>
      <c r="U2" s="6">
        <v>3</v>
      </c>
      <c r="V2" s="6">
        <v>3</v>
      </c>
      <c r="W2" s="6">
        <v>3</v>
      </c>
      <c r="X2" s="6">
        <v>3</v>
      </c>
      <c r="Y2" s="6">
        <v>3</v>
      </c>
      <c r="Z2" s="6">
        <v>3</v>
      </c>
      <c r="AA2" s="6">
        <v>3</v>
      </c>
      <c r="AB2" s="6">
        <v>3</v>
      </c>
      <c r="AC2" s="6">
        <v>3</v>
      </c>
      <c r="AD2" s="6">
        <v>3</v>
      </c>
      <c r="AE2" s="6">
        <v>3</v>
      </c>
      <c r="AF2" s="6">
        <v>3</v>
      </c>
      <c r="AG2" s="6">
        <v>3</v>
      </c>
      <c r="AH2" s="6">
        <v>3</v>
      </c>
      <c r="AI2" s="6">
        <v>3</v>
      </c>
      <c r="AJ2" s="6">
        <v>3</v>
      </c>
      <c r="AK2" s="6">
        <v>3</v>
      </c>
      <c r="AL2" s="6">
        <v>3</v>
      </c>
      <c r="AM2" s="8">
        <f t="shared" ref="AM2:AM33" si="0">IF(COUNT(O2:V2)&lt;8,"",AVERAGE(O2:V2))</f>
        <v>3</v>
      </c>
      <c r="AN2" s="8">
        <f t="shared" ref="AN2:AN33" si="1">IF(COUNT(O2:O2)&lt;1,"",AVERAGE(O2:O2))</f>
        <v>3</v>
      </c>
      <c r="AO2" s="8">
        <f t="shared" ref="AO2:AO33" si="2">IF(COUNT(P2:P2)&lt;1,"",AVERAGE(P2:P2))</f>
        <v>3</v>
      </c>
      <c r="AP2" s="8">
        <f t="shared" ref="AP2:AP33" si="3">IF(COUNT(Q2:R2)&lt;2,"",AVERAGE(Q2:R2))</f>
        <v>3</v>
      </c>
      <c r="AQ2" s="8">
        <f t="shared" ref="AQ2:AQ33" si="4">IF(COUNT(S2:T2)&lt;2,"",AVERAGE(S2:T2))</f>
        <v>3</v>
      </c>
      <c r="AR2" s="8">
        <f t="shared" ref="AR2:AR33" si="5">IF(COUNT(U2:V2)&lt;2,"",AVERAGE(U2:V2))</f>
        <v>3</v>
      </c>
      <c r="AS2" s="8">
        <f t="shared" ref="AS2:AS33" si="6">IF(COUNT(W2:Z2)&lt;4,"",AVERAGE(W2:Z2))</f>
        <v>3</v>
      </c>
      <c r="AT2" s="8">
        <f t="shared" ref="AT2:AT33" si="7">IF($C2&lt;&gt;1,"",IF(COUNT(AA2:AB2)&lt;2,"",AVERAGE(AA2:AB2)))</f>
        <v>3</v>
      </c>
      <c r="AU2" s="8">
        <f t="shared" ref="AU2:AU33" si="8">IF($C2&lt;&gt;1,"",IF(COUNT(AC2:AD2)&lt;2,"",AVERAGE(AC2:AD2)))</f>
        <v>3</v>
      </c>
      <c r="AV2" s="8">
        <f t="shared" ref="AV2:AV33" si="9">IF($C2&lt;&gt;1,"",IF(COUNT(AE2:AF2)&lt;2,"",AVERAGE(AE2:AF2)))</f>
        <v>3</v>
      </c>
      <c r="AW2" s="8">
        <f t="shared" ref="AW2:AW33" si="10">IF($C2&lt;&gt;1,"",IF(COUNT(AG2:AH2)&lt;2,"",AVERAGE(AG2:AH2)))</f>
        <v>3</v>
      </c>
      <c r="AX2" s="8">
        <f t="shared" ref="AX2:AX33" si="11">IF($C2&lt;&gt;1,"",IF(COUNT(AA2:AH2)&lt;8,"",AVERAGE(AA2:AH2)))</f>
        <v>3</v>
      </c>
      <c r="AY2" s="8">
        <f t="shared" ref="AY2:AY33" si="12">IF($C2&lt;&gt;1,"",IF(COUNT(AI2:AL2)&lt;4,"",AVERAGE(AI2:AL2)))</f>
        <v>3</v>
      </c>
      <c r="AZ2" s="9">
        <f t="shared" ref="AZ2:AZ33" si="13">IF($C2&lt;&gt;1,"",IF(OR(K2="",M2=""),"",IF(AND(OR(K2=3,K2=4),M2=3),1,0)))</f>
        <v>1</v>
      </c>
      <c r="BA2" s="6">
        <v>0</v>
      </c>
      <c r="BB2" s="6" t="s">
        <v>96</v>
      </c>
    </row>
    <row r="3" spans="1:54" x14ac:dyDescent="0.45">
      <c r="A3" s="6" t="s">
        <v>97</v>
      </c>
      <c r="B3" s="6">
        <v>3</v>
      </c>
      <c r="C3" s="6">
        <v>1</v>
      </c>
      <c r="D3" s="6">
        <v>2</v>
      </c>
      <c r="E3" s="6">
        <v>1</v>
      </c>
      <c r="F3" s="6">
        <v>38</v>
      </c>
      <c r="G3" s="6">
        <v>11</v>
      </c>
      <c r="H3" s="6">
        <v>1</v>
      </c>
      <c r="I3" s="6"/>
      <c r="J3" s="6">
        <v>1</v>
      </c>
      <c r="K3" s="6">
        <v>1</v>
      </c>
      <c r="L3" s="6"/>
      <c r="M3" s="6">
        <v>1</v>
      </c>
      <c r="N3" s="6">
        <v>1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6">
        <v>5</v>
      </c>
      <c r="V3" s="6">
        <v>5</v>
      </c>
      <c r="W3" s="6">
        <v>5</v>
      </c>
      <c r="X3" s="6">
        <v>5</v>
      </c>
      <c r="Y3" s="6">
        <v>5</v>
      </c>
      <c r="Z3" s="6">
        <v>5</v>
      </c>
      <c r="AA3" s="6">
        <v>5</v>
      </c>
      <c r="AB3" s="6">
        <v>5</v>
      </c>
      <c r="AC3" s="6">
        <v>5</v>
      </c>
      <c r="AD3" s="6">
        <v>5</v>
      </c>
      <c r="AE3" s="6">
        <v>5</v>
      </c>
      <c r="AF3" s="6">
        <v>5</v>
      </c>
      <c r="AG3" s="6">
        <v>5</v>
      </c>
      <c r="AH3" s="6">
        <v>5</v>
      </c>
      <c r="AI3" s="6">
        <v>5</v>
      </c>
      <c r="AJ3" s="6">
        <v>5</v>
      </c>
      <c r="AK3" s="6">
        <v>5</v>
      </c>
      <c r="AL3" s="6">
        <v>5</v>
      </c>
      <c r="AM3" s="8">
        <f t="shared" si="0"/>
        <v>5</v>
      </c>
      <c r="AN3" s="8">
        <f t="shared" si="1"/>
        <v>5</v>
      </c>
      <c r="AO3" s="8">
        <f t="shared" si="2"/>
        <v>5</v>
      </c>
      <c r="AP3" s="8">
        <f t="shared" si="3"/>
        <v>5</v>
      </c>
      <c r="AQ3" s="8">
        <f t="shared" si="4"/>
        <v>5</v>
      </c>
      <c r="AR3" s="8">
        <f t="shared" si="5"/>
        <v>5</v>
      </c>
      <c r="AS3" s="8">
        <f t="shared" si="6"/>
        <v>5</v>
      </c>
      <c r="AT3" s="8">
        <f t="shared" si="7"/>
        <v>5</v>
      </c>
      <c r="AU3" s="8">
        <f t="shared" si="8"/>
        <v>5</v>
      </c>
      <c r="AV3" s="8">
        <f t="shared" si="9"/>
        <v>5</v>
      </c>
      <c r="AW3" s="8">
        <f t="shared" si="10"/>
        <v>5</v>
      </c>
      <c r="AX3" s="8">
        <f t="shared" si="11"/>
        <v>5</v>
      </c>
      <c r="AY3" s="8">
        <f t="shared" si="12"/>
        <v>5</v>
      </c>
      <c r="AZ3" s="9">
        <f t="shared" si="13"/>
        <v>0</v>
      </c>
      <c r="BA3" s="6">
        <v>0</v>
      </c>
      <c r="BB3" s="6" t="s">
        <v>105</v>
      </c>
    </row>
    <row r="4" spans="1:54" x14ac:dyDescent="0.45">
      <c r="A4" s="6" t="s">
        <v>106</v>
      </c>
      <c r="B4" s="6">
        <v>4</v>
      </c>
      <c r="C4" s="6">
        <v>0</v>
      </c>
      <c r="D4" s="6">
        <v>1</v>
      </c>
      <c r="E4" s="6">
        <v>1</v>
      </c>
      <c r="F4" s="6">
        <v>58</v>
      </c>
      <c r="G4" s="6">
        <v>35</v>
      </c>
      <c r="H4" s="6">
        <v>3</v>
      </c>
      <c r="I4" s="6"/>
      <c r="J4" s="6">
        <v>2</v>
      </c>
      <c r="K4" s="6">
        <v>2</v>
      </c>
      <c r="L4" s="6"/>
      <c r="M4" s="6">
        <v>2</v>
      </c>
      <c r="N4" s="6">
        <v>2</v>
      </c>
      <c r="O4" s="6">
        <v>3</v>
      </c>
      <c r="P4" s="6">
        <v>3</v>
      </c>
      <c r="Q4" s="6">
        <v>2</v>
      </c>
      <c r="R4" s="6">
        <v>2</v>
      </c>
      <c r="S4" s="6">
        <v>2</v>
      </c>
      <c r="T4" s="6">
        <v>3</v>
      </c>
      <c r="U4" s="6">
        <v>3</v>
      </c>
      <c r="V4" s="6">
        <v>4</v>
      </c>
      <c r="W4" s="6">
        <v>4</v>
      </c>
      <c r="X4" s="6">
        <v>4</v>
      </c>
      <c r="Y4" s="6">
        <v>4</v>
      </c>
      <c r="Z4" s="6">
        <v>4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8">
        <f t="shared" si="0"/>
        <v>2.75</v>
      </c>
      <c r="AN4" s="8">
        <f t="shared" si="1"/>
        <v>3</v>
      </c>
      <c r="AO4" s="8">
        <f t="shared" si="2"/>
        <v>3</v>
      </c>
      <c r="AP4" s="8">
        <f t="shared" si="3"/>
        <v>2</v>
      </c>
      <c r="AQ4" s="8">
        <f t="shared" si="4"/>
        <v>2.5</v>
      </c>
      <c r="AR4" s="8">
        <f t="shared" si="5"/>
        <v>3.5</v>
      </c>
      <c r="AS4" s="8">
        <f t="shared" si="6"/>
        <v>4</v>
      </c>
      <c r="AT4" s="8" t="str">
        <f t="shared" si="7"/>
        <v/>
      </c>
      <c r="AU4" s="8" t="str">
        <f t="shared" si="8"/>
        <v/>
      </c>
      <c r="AV4" s="8" t="str">
        <f t="shared" si="9"/>
        <v/>
      </c>
      <c r="AW4" s="8" t="str">
        <f t="shared" si="10"/>
        <v/>
      </c>
      <c r="AX4" s="8" t="str">
        <f t="shared" si="11"/>
        <v/>
      </c>
      <c r="AY4" s="8" t="str">
        <f t="shared" si="12"/>
        <v/>
      </c>
      <c r="AZ4" s="9" t="str">
        <f t="shared" si="13"/>
        <v/>
      </c>
      <c r="BA4" s="6">
        <v>1</v>
      </c>
      <c r="BB4" s="6"/>
    </row>
    <row r="5" spans="1:54" x14ac:dyDescent="0.45">
      <c r="A5" s="6" t="s">
        <v>117</v>
      </c>
      <c r="B5" s="6">
        <v>5</v>
      </c>
      <c r="C5" s="6">
        <v>0</v>
      </c>
      <c r="D5" s="6">
        <v>1</v>
      </c>
      <c r="E5" s="6">
        <v>1</v>
      </c>
      <c r="F5" s="6">
        <v>63</v>
      </c>
      <c r="G5" s="6">
        <v>34</v>
      </c>
      <c r="H5" s="6">
        <v>3</v>
      </c>
      <c r="I5" s="6"/>
      <c r="J5" s="6">
        <v>3</v>
      </c>
      <c r="K5" s="6">
        <v>2</v>
      </c>
      <c r="L5" s="6"/>
      <c r="M5" s="6">
        <v>2</v>
      </c>
      <c r="N5" s="6">
        <v>2</v>
      </c>
      <c r="O5" s="6">
        <v>4</v>
      </c>
      <c r="P5" s="6">
        <v>4</v>
      </c>
      <c r="Q5" s="6">
        <v>4</v>
      </c>
      <c r="R5" s="6">
        <v>3</v>
      </c>
      <c r="S5" s="6">
        <v>3</v>
      </c>
      <c r="T5" s="6">
        <v>4</v>
      </c>
      <c r="U5" s="6">
        <v>4</v>
      </c>
      <c r="V5" s="6">
        <v>3</v>
      </c>
      <c r="W5" s="6">
        <v>3</v>
      </c>
      <c r="X5" s="6">
        <v>3</v>
      </c>
      <c r="Y5" s="6">
        <v>3</v>
      </c>
      <c r="Z5" s="6">
        <v>3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8">
        <f t="shared" si="0"/>
        <v>3.625</v>
      </c>
      <c r="AN5" s="8">
        <f t="shared" si="1"/>
        <v>4</v>
      </c>
      <c r="AO5" s="8">
        <f t="shared" si="2"/>
        <v>4</v>
      </c>
      <c r="AP5" s="8">
        <f t="shared" si="3"/>
        <v>3.5</v>
      </c>
      <c r="AQ5" s="8">
        <f t="shared" si="4"/>
        <v>3.5</v>
      </c>
      <c r="AR5" s="8">
        <f t="shared" si="5"/>
        <v>3.5</v>
      </c>
      <c r="AS5" s="8">
        <f t="shared" si="6"/>
        <v>3</v>
      </c>
      <c r="AT5" s="8" t="str">
        <f t="shared" si="7"/>
        <v/>
      </c>
      <c r="AU5" s="8" t="str">
        <f t="shared" si="8"/>
        <v/>
      </c>
      <c r="AV5" s="8" t="str">
        <f t="shared" si="9"/>
        <v/>
      </c>
      <c r="AW5" s="8" t="str">
        <f t="shared" si="10"/>
        <v/>
      </c>
      <c r="AX5" s="8" t="str">
        <f t="shared" si="11"/>
        <v/>
      </c>
      <c r="AY5" s="8" t="str">
        <f t="shared" si="12"/>
        <v/>
      </c>
      <c r="AZ5" s="9" t="str">
        <f t="shared" si="13"/>
        <v/>
      </c>
      <c r="BA5" s="6">
        <v>1</v>
      </c>
      <c r="BB5" s="6"/>
    </row>
    <row r="6" spans="1:54" x14ac:dyDescent="0.45">
      <c r="A6" s="6" t="s">
        <v>120</v>
      </c>
      <c r="B6" s="6">
        <v>6</v>
      </c>
      <c r="C6" s="6">
        <v>1</v>
      </c>
      <c r="D6" s="6">
        <v>2</v>
      </c>
      <c r="E6" s="6">
        <v>1</v>
      </c>
      <c r="F6" s="6">
        <v>48</v>
      </c>
      <c r="G6" s="6">
        <v>9</v>
      </c>
      <c r="H6" s="6">
        <v>1</v>
      </c>
      <c r="I6" s="6"/>
      <c r="J6" s="6">
        <v>3</v>
      </c>
      <c r="K6" s="6">
        <v>2</v>
      </c>
      <c r="L6" s="6"/>
      <c r="M6" s="6">
        <v>1</v>
      </c>
      <c r="N6" s="6">
        <v>1</v>
      </c>
      <c r="O6" s="6">
        <v>3</v>
      </c>
      <c r="P6" s="6">
        <v>4</v>
      </c>
      <c r="Q6" s="6">
        <v>3</v>
      </c>
      <c r="R6" s="6">
        <v>4</v>
      </c>
      <c r="S6" s="6">
        <v>4</v>
      </c>
      <c r="T6" s="6">
        <v>4</v>
      </c>
      <c r="U6" s="6">
        <v>4</v>
      </c>
      <c r="V6" s="6">
        <v>4</v>
      </c>
      <c r="W6" s="6">
        <v>3</v>
      </c>
      <c r="X6" s="6">
        <v>3</v>
      </c>
      <c r="Y6" s="6">
        <v>3</v>
      </c>
      <c r="Z6" s="6">
        <v>3</v>
      </c>
      <c r="AA6" s="6">
        <v>3</v>
      </c>
      <c r="AB6" s="6">
        <v>3</v>
      </c>
      <c r="AC6" s="6">
        <v>4</v>
      </c>
      <c r="AD6" s="6">
        <v>4</v>
      </c>
      <c r="AE6" s="6">
        <v>4</v>
      </c>
      <c r="AF6" s="6">
        <v>3</v>
      </c>
      <c r="AG6" s="6">
        <v>4</v>
      </c>
      <c r="AH6" s="6">
        <v>4</v>
      </c>
      <c r="AI6" s="6">
        <v>4</v>
      </c>
      <c r="AJ6" s="6">
        <v>4</v>
      </c>
      <c r="AK6" s="6">
        <v>4</v>
      </c>
      <c r="AL6" s="6">
        <v>4</v>
      </c>
      <c r="AM6" s="8">
        <f t="shared" si="0"/>
        <v>3.75</v>
      </c>
      <c r="AN6" s="8">
        <f t="shared" si="1"/>
        <v>3</v>
      </c>
      <c r="AO6" s="8">
        <f t="shared" si="2"/>
        <v>4</v>
      </c>
      <c r="AP6" s="8">
        <f t="shared" si="3"/>
        <v>3.5</v>
      </c>
      <c r="AQ6" s="8">
        <f t="shared" si="4"/>
        <v>4</v>
      </c>
      <c r="AR6" s="8">
        <f t="shared" si="5"/>
        <v>4</v>
      </c>
      <c r="AS6" s="8">
        <f t="shared" si="6"/>
        <v>3</v>
      </c>
      <c r="AT6" s="8">
        <f t="shared" si="7"/>
        <v>3</v>
      </c>
      <c r="AU6" s="8">
        <f t="shared" si="8"/>
        <v>4</v>
      </c>
      <c r="AV6" s="8">
        <f t="shared" si="9"/>
        <v>3.5</v>
      </c>
      <c r="AW6" s="8">
        <f t="shared" si="10"/>
        <v>4</v>
      </c>
      <c r="AX6" s="8">
        <f t="shared" si="11"/>
        <v>3.625</v>
      </c>
      <c r="AY6" s="8">
        <f t="shared" si="12"/>
        <v>4</v>
      </c>
      <c r="AZ6" s="9">
        <f t="shared" si="13"/>
        <v>0</v>
      </c>
      <c r="BA6" s="6">
        <v>1</v>
      </c>
      <c r="BB6" s="6"/>
    </row>
    <row r="7" spans="1:54" x14ac:dyDescent="0.45">
      <c r="A7" s="6" t="s">
        <v>123</v>
      </c>
      <c r="B7" s="6">
        <v>7</v>
      </c>
      <c r="C7" s="6">
        <v>1</v>
      </c>
      <c r="D7" s="6">
        <v>1</v>
      </c>
      <c r="E7" s="6">
        <v>1</v>
      </c>
      <c r="F7" s="6">
        <v>50</v>
      </c>
      <c r="G7" s="6">
        <v>25</v>
      </c>
      <c r="H7" s="6">
        <v>2</v>
      </c>
      <c r="I7" s="6"/>
      <c r="J7" s="6">
        <v>4</v>
      </c>
      <c r="K7" s="6">
        <v>2</v>
      </c>
      <c r="L7" s="6"/>
      <c r="M7" s="6">
        <v>1</v>
      </c>
      <c r="N7" s="6">
        <v>2</v>
      </c>
      <c r="O7" s="6">
        <v>3</v>
      </c>
      <c r="P7" s="6">
        <v>3</v>
      </c>
      <c r="Q7" s="6">
        <v>4</v>
      </c>
      <c r="R7" s="6">
        <v>4</v>
      </c>
      <c r="S7" s="6">
        <v>4</v>
      </c>
      <c r="T7" s="6">
        <v>4</v>
      </c>
      <c r="U7" s="6">
        <v>4</v>
      </c>
      <c r="V7" s="6">
        <v>4</v>
      </c>
      <c r="W7" s="6">
        <v>5</v>
      </c>
      <c r="X7" s="6">
        <v>5</v>
      </c>
      <c r="Y7" s="6">
        <v>5</v>
      </c>
      <c r="Z7" s="6">
        <v>4</v>
      </c>
      <c r="AA7" s="6">
        <v>4</v>
      </c>
      <c r="AB7" s="6">
        <v>4</v>
      </c>
      <c r="AC7" s="6">
        <v>4</v>
      </c>
      <c r="AD7" s="6">
        <v>4</v>
      </c>
      <c r="AE7" s="6">
        <v>4</v>
      </c>
      <c r="AF7" s="6">
        <v>4</v>
      </c>
      <c r="AG7" s="6">
        <v>4</v>
      </c>
      <c r="AH7" s="6">
        <v>4</v>
      </c>
      <c r="AI7" s="6">
        <v>4</v>
      </c>
      <c r="AJ7" s="6">
        <v>4</v>
      </c>
      <c r="AK7" s="6">
        <v>4</v>
      </c>
      <c r="AL7" s="6">
        <v>4</v>
      </c>
      <c r="AM7" s="8">
        <f t="shared" si="0"/>
        <v>3.75</v>
      </c>
      <c r="AN7" s="8">
        <f t="shared" si="1"/>
        <v>3</v>
      </c>
      <c r="AO7" s="8">
        <f t="shared" si="2"/>
        <v>3</v>
      </c>
      <c r="AP7" s="8">
        <f t="shared" si="3"/>
        <v>4</v>
      </c>
      <c r="AQ7" s="8">
        <f t="shared" si="4"/>
        <v>4</v>
      </c>
      <c r="AR7" s="8">
        <f t="shared" si="5"/>
        <v>4</v>
      </c>
      <c r="AS7" s="8">
        <f t="shared" si="6"/>
        <v>4.75</v>
      </c>
      <c r="AT7" s="8">
        <f t="shared" si="7"/>
        <v>4</v>
      </c>
      <c r="AU7" s="8">
        <f t="shared" si="8"/>
        <v>4</v>
      </c>
      <c r="AV7" s="8">
        <f t="shared" si="9"/>
        <v>4</v>
      </c>
      <c r="AW7" s="8">
        <f t="shared" si="10"/>
        <v>4</v>
      </c>
      <c r="AX7" s="8">
        <f t="shared" si="11"/>
        <v>4</v>
      </c>
      <c r="AY7" s="8">
        <f t="shared" si="12"/>
        <v>4</v>
      </c>
      <c r="AZ7" s="9">
        <f t="shared" si="13"/>
        <v>0</v>
      </c>
      <c r="BA7" s="6">
        <v>1</v>
      </c>
      <c r="BB7" s="6"/>
    </row>
    <row r="8" spans="1:54" x14ac:dyDescent="0.45">
      <c r="A8" s="6" t="s">
        <v>126</v>
      </c>
      <c r="B8" s="6">
        <v>8</v>
      </c>
      <c r="C8" s="6">
        <v>0</v>
      </c>
      <c r="D8" s="6">
        <v>1</v>
      </c>
      <c r="E8" s="6">
        <v>1</v>
      </c>
      <c r="F8" s="6">
        <v>51</v>
      </c>
      <c r="G8" s="6">
        <v>26</v>
      </c>
      <c r="H8" s="6">
        <v>2</v>
      </c>
      <c r="I8" s="6"/>
      <c r="J8" s="6">
        <v>4</v>
      </c>
      <c r="K8" s="6">
        <v>2</v>
      </c>
      <c r="L8" s="6"/>
      <c r="M8" s="6">
        <v>2</v>
      </c>
      <c r="N8" s="6">
        <v>1</v>
      </c>
      <c r="O8" s="6">
        <v>4</v>
      </c>
      <c r="P8" s="6">
        <v>4</v>
      </c>
      <c r="Q8" s="6">
        <v>4</v>
      </c>
      <c r="R8" s="6">
        <v>4</v>
      </c>
      <c r="S8" s="6">
        <v>3</v>
      </c>
      <c r="T8" s="6">
        <v>4</v>
      </c>
      <c r="U8" s="6">
        <v>4</v>
      </c>
      <c r="V8" s="6">
        <v>4</v>
      </c>
      <c r="W8" s="6">
        <v>4</v>
      </c>
      <c r="X8" s="6">
        <v>4</v>
      </c>
      <c r="Y8" s="6">
        <v>4</v>
      </c>
      <c r="Z8" s="6">
        <v>4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8">
        <f t="shared" si="0"/>
        <v>3.875</v>
      </c>
      <c r="AN8" s="8">
        <f t="shared" si="1"/>
        <v>4</v>
      </c>
      <c r="AO8" s="8">
        <f t="shared" si="2"/>
        <v>4</v>
      </c>
      <c r="AP8" s="8">
        <f t="shared" si="3"/>
        <v>4</v>
      </c>
      <c r="AQ8" s="8">
        <f t="shared" si="4"/>
        <v>3.5</v>
      </c>
      <c r="AR8" s="8">
        <f t="shared" si="5"/>
        <v>4</v>
      </c>
      <c r="AS8" s="8">
        <f t="shared" si="6"/>
        <v>4</v>
      </c>
      <c r="AT8" s="8" t="str">
        <f t="shared" si="7"/>
        <v/>
      </c>
      <c r="AU8" s="8" t="str">
        <f t="shared" si="8"/>
        <v/>
      </c>
      <c r="AV8" s="8" t="str">
        <f t="shared" si="9"/>
        <v/>
      </c>
      <c r="AW8" s="8" t="str">
        <f t="shared" si="10"/>
        <v/>
      </c>
      <c r="AX8" s="8" t="str">
        <f t="shared" si="11"/>
        <v/>
      </c>
      <c r="AY8" s="8" t="str">
        <f t="shared" si="12"/>
        <v/>
      </c>
      <c r="AZ8" s="9" t="str">
        <f t="shared" si="13"/>
        <v/>
      </c>
      <c r="BA8" s="6">
        <v>1</v>
      </c>
      <c r="BB8" s="6"/>
    </row>
    <row r="9" spans="1:54" x14ac:dyDescent="0.45">
      <c r="A9" s="6" t="s">
        <v>127</v>
      </c>
      <c r="B9" s="6">
        <v>9</v>
      </c>
      <c r="C9" s="6">
        <v>0</v>
      </c>
      <c r="D9" s="6">
        <v>1</v>
      </c>
      <c r="E9" s="6">
        <v>1</v>
      </c>
      <c r="F9" s="6">
        <v>43</v>
      </c>
      <c r="G9" s="6">
        <v>1</v>
      </c>
      <c r="H9" s="6">
        <v>3</v>
      </c>
      <c r="I9" s="6"/>
      <c r="J9" s="6">
        <v>2</v>
      </c>
      <c r="K9" s="6">
        <v>2</v>
      </c>
      <c r="L9" s="6"/>
      <c r="M9" s="6">
        <v>2</v>
      </c>
      <c r="N9" s="6">
        <v>1</v>
      </c>
      <c r="O9" s="6">
        <v>4</v>
      </c>
      <c r="P9" s="6">
        <v>3</v>
      </c>
      <c r="Q9" s="6">
        <v>3</v>
      </c>
      <c r="R9" s="6">
        <v>4</v>
      </c>
      <c r="S9" s="6">
        <v>3</v>
      </c>
      <c r="T9" s="6">
        <v>2</v>
      </c>
      <c r="U9" s="6">
        <v>3</v>
      </c>
      <c r="V9" s="6">
        <v>4</v>
      </c>
      <c r="W9" s="6">
        <v>3</v>
      </c>
      <c r="X9" s="6">
        <v>4</v>
      </c>
      <c r="Y9" s="6">
        <v>4</v>
      </c>
      <c r="Z9" s="6">
        <v>3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8">
        <f t="shared" si="0"/>
        <v>3.25</v>
      </c>
      <c r="AN9" s="8">
        <f t="shared" si="1"/>
        <v>4</v>
      </c>
      <c r="AO9" s="8">
        <f t="shared" si="2"/>
        <v>3</v>
      </c>
      <c r="AP9" s="8">
        <f t="shared" si="3"/>
        <v>3.5</v>
      </c>
      <c r="AQ9" s="8">
        <f t="shared" si="4"/>
        <v>2.5</v>
      </c>
      <c r="AR9" s="8">
        <f t="shared" si="5"/>
        <v>3.5</v>
      </c>
      <c r="AS9" s="8">
        <f t="shared" si="6"/>
        <v>3.5</v>
      </c>
      <c r="AT9" s="8" t="str">
        <f t="shared" si="7"/>
        <v/>
      </c>
      <c r="AU9" s="8" t="str">
        <f t="shared" si="8"/>
        <v/>
      </c>
      <c r="AV9" s="8" t="str">
        <f t="shared" si="9"/>
        <v/>
      </c>
      <c r="AW9" s="8" t="str">
        <f t="shared" si="10"/>
        <v/>
      </c>
      <c r="AX9" s="8" t="str">
        <f t="shared" si="11"/>
        <v/>
      </c>
      <c r="AY9" s="8" t="str">
        <f t="shared" si="12"/>
        <v/>
      </c>
      <c r="AZ9" s="9" t="str">
        <f t="shared" si="13"/>
        <v/>
      </c>
      <c r="BA9" s="6">
        <v>1</v>
      </c>
      <c r="BB9" s="6"/>
    </row>
    <row r="10" spans="1:54" x14ac:dyDescent="0.45">
      <c r="A10" s="6" t="s">
        <v>128</v>
      </c>
      <c r="B10" s="6">
        <v>10</v>
      </c>
      <c r="C10" s="6">
        <v>1</v>
      </c>
      <c r="D10" s="6">
        <v>2</v>
      </c>
      <c r="E10" s="6">
        <v>1</v>
      </c>
      <c r="F10" s="6">
        <v>32</v>
      </c>
      <c r="G10" s="6">
        <v>2</v>
      </c>
      <c r="H10" s="6">
        <v>1</v>
      </c>
      <c r="I10" s="6"/>
      <c r="J10" s="6">
        <v>3</v>
      </c>
      <c r="K10" s="6">
        <v>3</v>
      </c>
      <c r="L10" s="6"/>
      <c r="M10" s="6">
        <v>2</v>
      </c>
      <c r="N10" s="6">
        <v>3</v>
      </c>
      <c r="O10" s="6">
        <v>5</v>
      </c>
      <c r="P10" s="6">
        <v>5</v>
      </c>
      <c r="Q10" s="6">
        <v>5</v>
      </c>
      <c r="R10" s="6">
        <v>5</v>
      </c>
      <c r="S10" s="6">
        <v>5</v>
      </c>
      <c r="T10" s="6">
        <v>5</v>
      </c>
      <c r="U10" s="6">
        <v>5</v>
      </c>
      <c r="V10" s="6">
        <v>5</v>
      </c>
      <c r="W10" s="6">
        <v>3</v>
      </c>
      <c r="X10" s="6">
        <v>3</v>
      </c>
      <c r="Y10" s="6">
        <v>2</v>
      </c>
      <c r="Z10" s="6">
        <v>2</v>
      </c>
      <c r="AA10" s="6">
        <v>5</v>
      </c>
      <c r="AB10" s="6">
        <v>5</v>
      </c>
      <c r="AC10" s="6">
        <v>5</v>
      </c>
      <c r="AD10" s="6">
        <v>5</v>
      </c>
      <c r="AE10" s="6">
        <v>5</v>
      </c>
      <c r="AF10" s="6">
        <v>5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6">
        <v>5</v>
      </c>
      <c r="AM10" s="8">
        <f t="shared" si="0"/>
        <v>5</v>
      </c>
      <c r="AN10" s="8">
        <f t="shared" si="1"/>
        <v>5</v>
      </c>
      <c r="AO10" s="8">
        <f t="shared" si="2"/>
        <v>5</v>
      </c>
      <c r="AP10" s="8">
        <f t="shared" si="3"/>
        <v>5</v>
      </c>
      <c r="AQ10" s="8">
        <f t="shared" si="4"/>
        <v>5</v>
      </c>
      <c r="AR10" s="8">
        <f t="shared" si="5"/>
        <v>5</v>
      </c>
      <c r="AS10" s="8">
        <f t="shared" si="6"/>
        <v>2.5</v>
      </c>
      <c r="AT10" s="8">
        <f t="shared" si="7"/>
        <v>5</v>
      </c>
      <c r="AU10" s="8">
        <f t="shared" si="8"/>
        <v>5</v>
      </c>
      <c r="AV10" s="8">
        <f t="shared" si="9"/>
        <v>5</v>
      </c>
      <c r="AW10" s="8">
        <f t="shared" si="10"/>
        <v>5</v>
      </c>
      <c r="AX10" s="8">
        <f t="shared" si="11"/>
        <v>5</v>
      </c>
      <c r="AY10" s="8">
        <f t="shared" si="12"/>
        <v>5</v>
      </c>
      <c r="AZ10" s="9">
        <f t="shared" si="13"/>
        <v>0</v>
      </c>
      <c r="BA10" s="6">
        <v>1</v>
      </c>
      <c r="BB10" s="6"/>
    </row>
    <row r="11" spans="1:54" x14ac:dyDescent="0.45">
      <c r="A11" s="6" t="s">
        <v>130</v>
      </c>
      <c r="B11" s="6">
        <v>11</v>
      </c>
      <c r="C11" s="6">
        <v>1</v>
      </c>
      <c r="D11" s="6">
        <v>2</v>
      </c>
      <c r="E11" s="6">
        <v>1</v>
      </c>
      <c r="F11" s="6">
        <v>32</v>
      </c>
      <c r="G11" s="6">
        <v>5</v>
      </c>
      <c r="H11" s="6">
        <v>1</v>
      </c>
      <c r="I11" s="6"/>
      <c r="J11" s="6">
        <v>2</v>
      </c>
      <c r="K11" s="6">
        <v>4</v>
      </c>
      <c r="L11" s="6"/>
      <c r="M11" s="6">
        <v>3</v>
      </c>
      <c r="N11" s="6">
        <v>2</v>
      </c>
      <c r="O11" s="6">
        <v>2</v>
      </c>
      <c r="P11" s="6">
        <v>3</v>
      </c>
      <c r="Q11" s="6">
        <v>3</v>
      </c>
      <c r="R11" s="6">
        <v>3</v>
      </c>
      <c r="S11" s="6">
        <v>3</v>
      </c>
      <c r="T11" s="6">
        <v>3</v>
      </c>
      <c r="U11" s="6">
        <v>4</v>
      </c>
      <c r="V11" s="6">
        <v>3</v>
      </c>
      <c r="W11" s="6">
        <v>4</v>
      </c>
      <c r="X11" s="6">
        <v>4</v>
      </c>
      <c r="Y11" s="6">
        <v>4</v>
      </c>
      <c r="Z11" s="6">
        <v>4</v>
      </c>
      <c r="AA11" s="6">
        <v>4</v>
      </c>
      <c r="AB11" s="6">
        <v>3</v>
      </c>
      <c r="AC11" s="6">
        <v>3</v>
      </c>
      <c r="AD11" s="6">
        <v>3</v>
      </c>
      <c r="AE11" s="6">
        <v>2</v>
      </c>
      <c r="AF11" s="6">
        <v>2</v>
      </c>
      <c r="AG11" s="6">
        <v>4</v>
      </c>
      <c r="AH11" s="6">
        <v>3</v>
      </c>
      <c r="AI11" s="6">
        <v>3</v>
      </c>
      <c r="AJ11" s="6">
        <v>3</v>
      </c>
      <c r="AK11" s="6">
        <v>3</v>
      </c>
      <c r="AL11" s="6">
        <v>3</v>
      </c>
      <c r="AM11" s="8">
        <f t="shared" si="0"/>
        <v>3</v>
      </c>
      <c r="AN11" s="8">
        <f t="shared" si="1"/>
        <v>2</v>
      </c>
      <c r="AO11" s="8">
        <f t="shared" si="2"/>
        <v>3</v>
      </c>
      <c r="AP11" s="8">
        <f t="shared" si="3"/>
        <v>3</v>
      </c>
      <c r="AQ11" s="8">
        <f t="shared" si="4"/>
        <v>3</v>
      </c>
      <c r="AR11" s="8">
        <f t="shared" si="5"/>
        <v>3.5</v>
      </c>
      <c r="AS11" s="8">
        <f t="shared" si="6"/>
        <v>4</v>
      </c>
      <c r="AT11" s="8">
        <f t="shared" si="7"/>
        <v>3.5</v>
      </c>
      <c r="AU11" s="8">
        <f t="shared" si="8"/>
        <v>3</v>
      </c>
      <c r="AV11" s="8">
        <f t="shared" si="9"/>
        <v>2</v>
      </c>
      <c r="AW11" s="8">
        <f t="shared" si="10"/>
        <v>3.5</v>
      </c>
      <c r="AX11" s="8">
        <f t="shared" si="11"/>
        <v>3</v>
      </c>
      <c r="AY11" s="8">
        <f t="shared" si="12"/>
        <v>3</v>
      </c>
      <c r="AZ11" s="9">
        <f t="shared" si="13"/>
        <v>1</v>
      </c>
      <c r="BA11" s="6">
        <v>1</v>
      </c>
      <c r="BB11" s="6"/>
    </row>
    <row r="12" spans="1:54" x14ac:dyDescent="0.45">
      <c r="A12" s="6" t="s">
        <v>132</v>
      </c>
      <c r="B12" s="6">
        <v>12</v>
      </c>
      <c r="C12" s="6">
        <v>1</v>
      </c>
      <c r="D12" s="6">
        <v>2</v>
      </c>
      <c r="E12" s="6">
        <v>1</v>
      </c>
      <c r="F12" s="6">
        <v>49</v>
      </c>
      <c r="G12" s="6">
        <v>1</v>
      </c>
      <c r="H12" s="6">
        <v>1</v>
      </c>
      <c r="I12" s="6"/>
      <c r="J12" s="6">
        <v>3</v>
      </c>
      <c r="K12" s="6">
        <v>2</v>
      </c>
      <c r="L12" s="6"/>
      <c r="M12" s="6">
        <v>2</v>
      </c>
      <c r="N12" s="6">
        <v>2</v>
      </c>
      <c r="O12" s="6">
        <v>2</v>
      </c>
      <c r="P12" s="6">
        <v>3</v>
      </c>
      <c r="Q12" s="6">
        <v>3</v>
      </c>
      <c r="R12" s="6">
        <v>2</v>
      </c>
      <c r="S12" s="6">
        <v>5</v>
      </c>
      <c r="T12" s="6">
        <v>2</v>
      </c>
      <c r="U12" s="6">
        <v>3</v>
      </c>
      <c r="V12" s="6">
        <v>3</v>
      </c>
      <c r="W12" s="6">
        <v>2</v>
      </c>
      <c r="X12" s="6">
        <v>2</v>
      </c>
      <c r="Y12" s="6">
        <v>2</v>
      </c>
      <c r="Z12" s="6">
        <v>2</v>
      </c>
      <c r="AA12" s="6">
        <v>4</v>
      </c>
      <c r="AB12" s="6">
        <v>4</v>
      </c>
      <c r="AC12" s="6">
        <v>4</v>
      </c>
      <c r="AD12" s="6">
        <v>4</v>
      </c>
      <c r="AE12" s="6">
        <v>3</v>
      </c>
      <c r="AF12" s="6">
        <v>3</v>
      </c>
      <c r="AG12" s="6">
        <v>4</v>
      </c>
      <c r="AH12" s="6">
        <v>4</v>
      </c>
      <c r="AI12" s="6">
        <v>3</v>
      </c>
      <c r="AJ12" s="6">
        <v>3</v>
      </c>
      <c r="AK12" s="6">
        <v>2</v>
      </c>
      <c r="AL12" s="6">
        <v>2</v>
      </c>
      <c r="AM12" s="8">
        <f t="shared" si="0"/>
        <v>2.875</v>
      </c>
      <c r="AN12" s="8">
        <f t="shared" si="1"/>
        <v>2</v>
      </c>
      <c r="AO12" s="8">
        <f t="shared" si="2"/>
        <v>3</v>
      </c>
      <c r="AP12" s="8">
        <f t="shared" si="3"/>
        <v>2.5</v>
      </c>
      <c r="AQ12" s="8">
        <f t="shared" si="4"/>
        <v>3.5</v>
      </c>
      <c r="AR12" s="8">
        <f t="shared" si="5"/>
        <v>3</v>
      </c>
      <c r="AS12" s="8">
        <f t="shared" si="6"/>
        <v>2</v>
      </c>
      <c r="AT12" s="8">
        <f t="shared" si="7"/>
        <v>4</v>
      </c>
      <c r="AU12" s="8">
        <f t="shared" si="8"/>
        <v>4</v>
      </c>
      <c r="AV12" s="8">
        <f t="shared" si="9"/>
        <v>3</v>
      </c>
      <c r="AW12" s="8">
        <f t="shared" si="10"/>
        <v>4</v>
      </c>
      <c r="AX12" s="8">
        <f t="shared" si="11"/>
        <v>3.75</v>
      </c>
      <c r="AY12" s="8">
        <f t="shared" si="12"/>
        <v>2.5</v>
      </c>
      <c r="AZ12" s="9">
        <f t="shared" si="13"/>
        <v>0</v>
      </c>
      <c r="BA12" s="6">
        <v>1</v>
      </c>
      <c r="BB12" s="6"/>
    </row>
    <row r="13" spans="1:54" x14ac:dyDescent="0.45">
      <c r="A13" s="6" t="s">
        <v>133</v>
      </c>
      <c r="B13" s="6">
        <v>13</v>
      </c>
      <c r="C13" s="6">
        <v>1</v>
      </c>
      <c r="D13" s="6">
        <v>2</v>
      </c>
      <c r="E13" s="6">
        <v>1</v>
      </c>
      <c r="F13" s="6">
        <v>30</v>
      </c>
      <c r="G13" s="6">
        <v>3</v>
      </c>
      <c r="H13" s="6">
        <v>1</v>
      </c>
      <c r="I13" s="6"/>
      <c r="J13" s="6">
        <v>2</v>
      </c>
      <c r="K13" s="6">
        <v>4</v>
      </c>
      <c r="L13" s="6"/>
      <c r="M13" s="6">
        <v>2</v>
      </c>
      <c r="N13" s="6">
        <v>2</v>
      </c>
      <c r="O13" s="6">
        <v>4</v>
      </c>
      <c r="P13" s="6">
        <v>5</v>
      </c>
      <c r="Q13" s="6">
        <v>3</v>
      </c>
      <c r="R13" s="6">
        <v>4</v>
      </c>
      <c r="S13" s="6">
        <v>4</v>
      </c>
      <c r="T13" s="6">
        <v>3</v>
      </c>
      <c r="U13" s="6">
        <v>4</v>
      </c>
      <c r="V13" s="6">
        <v>4</v>
      </c>
      <c r="W13" s="6">
        <v>2</v>
      </c>
      <c r="X13" s="6">
        <v>2</v>
      </c>
      <c r="Y13" s="6">
        <v>3</v>
      </c>
      <c r="Z13" s="6">
        <v>5</v>
      </c>
      <c r="AA13" s="6">
        <v>5</v>
      </c>
      <c r="AB13" s="6">
        <v>4</v>
      </c>
      <c r="AC13" s="6">
        <v>4</v>
      </c>
      <c r="AD13" s="6">
        <v>3</v>
      </c>
      <c r="AE13" s="6">
        <v>4</v>
      </c>
      <c r="AF13" s="6">
        <v>4</v>
      </c>
      <c r="AG13" s="6">
        <v>5</v>
      </c>
      <c r="AH13" s="6">
        <v>4</v>
      </c>
      <c r="AI13" s="6">
        <v>3</v>
      </c>
      <c r="AJ13" s="6">
        <v>2</v>
      </c>
      <c r="AK13" s="6">
        <v>2</v>
      </c>
      <c r="AL13" s="6">
        <v>2</v>
      </c>
      <c r="AM13" s="8">
        <f t="shared" si="0"/>
        <v>3.875</v>
      </c>
      <c r="AN13" s="8">
        <f t="shared" si="1"/>
        <v>4</v>
      </c>
      <c r="AO13" s="8">
        <f t="shared" si="2"/>
        <v>5</v>
      </c>
      <c r="AP13" s="8">
        <f t="shared" si="3"/>
        <v>3.5</v>
      </c>
      <c r="AQ13" s="8">
        <f t="shared" si="4"/>
        <v>3.5</v>
      </c>
      <c r="AR13" s="8">
        <f t="shared" si="5"/>
        <v>4</v>
      </c>
      <c r="AS13" s="8">
        <f t="shared" si="6"/>
        <v>3</v>
      </c>
      <c r="AT13" s="8">
        <f t="shared" si="7"/>
        <v>4.5</v>
      </c>
      <c r="AU13" s="8">
        <f t="shared" si="8"/>
        <v>3.5</v>
      </c>
      <c r="AV13" s="8">
        <f t="shared" si="9"/>
        <v>4</v>
      </c>
      <c r="AW13" s="8">
        <f t="shared" si="10"/>
        <v>4.5</v>
      </c>
      <c r="AX13" s="8">
        <f t="shared" si="11"/>
        <v>4.125</v>
      </c>
      <c r="AY13" s="8">
        <f t="shared" si="12"/>
        <v>2.25</v>
      </c>
      <c r="AZ13" s="9">
        <f t="shared" si="13"/>
        <v>0</v>
      </c>
      <c r="BA13" s="6">
        <v>1</v>
      </c>
      <c r="BB13" s="6"/>
    </row>
    <row r="14" spans="1:54" x14ac:dyDescent="0.45">
      <c r="A14" s="6" t="s">
        <v>134</v>
      </c>
      <c r="B14" s="6">
        <v>14</v>
      </c>
      <c r="C14" s="6">
        <v>1</v>
      </c>
      <c r="D14" s="6">
        <v>1</v>
      </c>
      <c r="E14" s="6">
        <v>1</v>
      </c>
      <c r="F14" s="6">
        <v>65</v>
      </c>
      <c r="G14" s="6">
        <v>12</v>
      </c>
      <c r="H14" s="6">
        <v>2</v>
      </c>
      <c r="I14" s="6"/>
      <c r="J14" s="6">
        <v>4</v>
      </c>
      <c r="K14" s="6">
        <v>2</v>
      </c>
      <c r="L14" s="6"/>
      <c r="M14" s="6">
        <v>4</v>
      </c>
      <c r="N14" s="6">
        <v>2</v>
      </c>
      <c r="O14" s="6">
        <v>3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6">
        <v>5</v>
      </c>
      <c r="Y14" s="6">
        <v>5</v>
      </c>
      <c r="Z14" s="6">
        <v>5</v>
      </c>
      <c r="AA14" s="6">
        <v>5</v>
      </c>
      <c r="AB14" s="6">
        <v>5</v>
      </c>
      <c r="AC14" s="6">
        <v>5</v>
      </c>
      <c r="AD14" s="6">
        <v>5</v>
      </c>
      <c r="AE14" s="6">
        <v>5</v>
      </c>
      <c r="AF14" s="6">
        <v>5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6">
        <v>5</v>
      </c>
      <c r="AM14" s="8">
        <f t="shared" si="0"/>
        <v>4.75</v>
      </c>
      <c r="AN14" s="8">
        <f t="shared" si="1"/>
        <v>3</v>
      </c>
      <c r="AO14" s="8">
        <f t="shared" si="2"/>
        <v>5</v>
      </c>
      <c r="AP14" s="8">
        <f t="shared" si="3"/>
        <v>5</v>
      </c>
      <c r="AQ14" s="8">
        <f t="shared" si="4"/>
        <v>5</v>
      </c>
      <c r="AR14" s="8">
        <f t="shared" si="5"/>
        <v>5</v>
      </c>
      <c r="AS14" s="8">
        <f t="shared" si="6"/>
        <v>5</v>
      </c>
      <c r="AT14" s="8">
        <f t="shared" si="7"/>
        <v>5</v>
      </c>
      <c r="AU14" s="8">
        <f t="shared" si="8"/>
        <v>5</v>
      </c>
      <c r="AV14" s="8">
        <f t="shared" si="9"/>
        <v>5</v>
      </c>
      <c r="AW14" s="8">
        <f t="shared" si="10"/>
        <v>5</v>
      </c>
      <c r="AX14" s="8">
        <f t="shared" si="11"/>
        <v>5</v>
      </c>
      <c r="AY14" s="8">
        <f t="shared" si="12"/>
        <v>5</v>
      </c>
      <c r="AZ14" s="9">
        <f t="shared" si="13"/>
        <v>0</v>
      </c>
      <c r="BA14" s="6">
        <v>1</v>
      </c>
      <c r="BB14" s="6"/>
    </row>
    <row r="15" spans="1:54" x14ac:dyDescent="0.45">
      <c r="A15" s="6" t="s">
        <v>136</v>
      </c>
      <c r="B15" s="6">
        <v>15</v>
      </c>
      <c r="C15" s="6">
        <v>1</v>
      </c>
      <c r="D15" s="6">
        <v>1</v>
      </c>
      <c r="E15" s="6">
        <v>1</v>
      </c>
      <c r="F15" s="6">
        <v>53</v>
      </c>
      <c r="G15" s="6">
        <v>28</v>
      </c>
      <c r="H15" s="6">
        <v>3</v>
      </c>
      <c r="I15" s="6"/>
      <c r="J15" s="6">
        <v>3</v>
      </c>
      <c r="K15" s="6">
        <v>3</v>
      </c>
      <c r="L15" s="6"/>
      <c r="M15" s="6">
        <v>1</v>
      </c>
      <c r="N15" s="6">
        <v>1</v>
      </c>
      <c r="O15" s="6">
        <v>5</v>
      </c>
      <c r="P15" s="6">
        <v>5</v>
      </c>
      <c r="Q15" s="6">
        <v>5</v>
      </c>
      <c r="R15" s="6">
        <v>4</v>
      </c>
      <c r="S15" s="6">
        <v>4</v>
      </c>
      <c r="T15" s="6">
        <v>4</v>
      </c>
      <c r="U15" s="6">
        <v>5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4</v>
      </c>
      <c r="AB15" s="6">
        <v>2</v>
      </c>
      <c r="AC15" s="6">
        <v>4</v>
      </c>
      <c r="AD15" s="6">
        <v>2</v>
      </c>
      <c r="AE15" s="6">
        <v>3</v>
      </c>
      <c r="AF15" s="6">
        <v>3</v>
      </c>
      <c r="AG15" s="6">
        <v>4</v>
      </c>
      <c r="AH15" s="6">
        <v>3</v>
      </c>
      <c r="AI15" s="6">
        <v>4</v>
      </c>
      <c r="AJ15" s="6">
        <v>4</v>
      </c>
      <c r="AK15" s="6">
        <v>2</v>
      </c>
      <c r="AL15" s="6">
        <v>4</v>
      </c>
      <c r="AM15" s="8">
        <f t="shared" si="0"/>
        <v>4.5</v>
      </c>
      <c r="AN15" s="8">
        <f t="shared" si="1"/>
        <v>5</v>
      </c>
      <c r="AO15" s="8">
        <f t="shared" si="2"/>
        <v>5</v>
      </c>
      <c r="AP15" s="8">
        <f t="shared" si="3"/>
        <v>4.5</v>
      </c>
      <c r="AQ15" s="8">
        <f t="shared" si="4"/>
        <v>4</v>
      </c>
      <c r="AR15" s="8">
        <f t="shared" si="5"/>
        <v>4.5</v>
      </c>
      <c r="AS15" s="8">
        <f t="shared" si="6"/>
        <v>4</v>
      </c>
      <c r="AT15" s="8">
        <f t="shared" si="7"/>
        <v>3</v>
      </c>
      <c r="AU15" s="8">
        <f t="shared" si="8"/>
        <v>3</v>
      </c>
      <c r="AV15" s="8">
        <f t="shared" si="9"/>
        <v>3</v>
      </c>
      <c r="AW15" s="8">
        <f t="shared" si="10"/>
        <v>3.5</v>
      </c>
      <c r="AX15" s="8">
        <f t="shared" si="11"/>
        <v>3.125</v>
      </c>
      <c r="AY15" s="8">
        <f t="shared" si="12"/>
        <v>3.5</v>
      </c>
      <c r="AZ15" s="9">
        <f t="shared" si="13"/>
        <v>0</v>
      </c>
      <c r="BA15" s="6">
        <v>1</v>
      </c>
      <c r="BB15" s="6"/>
    </row>
    <row r="16" spans="1:54" x14ac:dyDescent="0.45">
      <c r="A16" s="6" t="s">
        <v>137</v>
      </c>
      <c r="B16" s="6">
        <v>16</v>
      </c>
      <c r="C16" s="6">
        <v>1</v>
      </c>
      <c r="D16" s="6">
        <v>1</v>
      </c>
      <c r="E16" s="6">
        <v>1</v>
      </c>
      <c r="F16" s="6">
        <v>53</v>
      </c>
      <c r="G16" s="6">
        <v>23</v>
      </c>
      <c r="H16" s="6">
        <v>3</v>
      </c>
      <c r="I16" s="6"/>
      <c r="J16" s="6">
        <v>3</v>
      </c>
      <c r="K16" s="6">
        <v>2</v>
      </c>
      <c r="L16" s="6"/>
      <c r="M16" s="6">
        <v>2</v>
      </c>
      <c r="N16" s="6">
        <v>2</v>
      </c>
      <c r="O16" s="6">
        <v>4</v>
      </c>
      <c r="P16" s="6">
        <v>4</v>
      </c>
      <c r="Q16" s="6">
        <v>4</v>
      </c>
      <c r="R16" s="6">
        <v>3</v>
      </c>
      <c r="S16" s="6">
        <v>3</v>
      </c>
      <c r="T16" s="6">
        <v>4</v>
      </c>
      <c r="U16" s="6">
        <v>4</v>
      </c>
      <c r="V16" s="6">
        <v>4</v>
      </c>
      <c r="W16" s="6">
        <v>3</v>
      </c>
      <c r="X16" s="6">
        <v>3</v>
      </c>
      <c r="Y16" s="6">
        <v>5</v>
      </c>
      <c r="Z16" s="6">
        <v>4</v>
      </c>
      <c r="AA16" s="6">
        <v>3</v>
      </c>
      <c r="AB16" s="6">
        <v>3</v>
      </c>
      <c r="AC16" s="6">
        <v>3</v>
      </c>
      <c r="AD16" s="6">
        <v>3</v>
      </c>
      <c r="AE16" s="6">
        <v>3</v>
      </c>
      <c r="AF16" s="6">
        <v>3</v>
      </c>
      <c r="AG16" s="6">
        <v>4</v>
      </c>
      <c r="AH16" s="6">
        <v>4</v>
      </c>
      <c r="AI16" s="6">
        <v>3</v>
      </c>
      <c r="AJ16" s="6">
        <v>3</v>
      </c>
      <c r="AK16" s="6">
        <v>4</v>
      </c>
      <c r="AL16" s="6">
        <v>4</v>
      </c>
      <c r="AM16" s="8">
        <f t="shared" si="0"/>
        <v>3.75</v>
      </c>
      <c r="AN16" s="8">
        <f t="shared" si="1"/>
        <v>4</v>
      </c>
      <c r="AO16" s="8">
        <f t="shared" si="2"/>
        <v>4</v>
      </c>
      <c r="AP16" s="8">
        <f t="shared" si="3"/>
        <v>3.5</v>
      </c>
      <c r="AQ16" s="8">
        <f t="shared" si="4"/>
        <v>3.5</v>
      </c>
      <c r="AR16" s="8">
        <f t="shared" si="5"/>
        <v>4</v>
      </c>
      <c r="AS16" s="8">
        <f t="shared" si="6"/>
        <v>3.75</v>
      </c>
      <c r="AT16" s="8">
        <f t="shared" si="7"/>
        <v>3</v>
      </c>
      <c r="AU16" s="8">
        <f t="shared" si="8"/>
        <v>3</v>
      </c>
      <c r="AV16" s="8">
        <f t="shared" si="9"/>
        <v>3</v>
      </c>
      <c r="AW16" s="8">
        <f t="shared" si="10"/>
        <v>4</v>
      </c>
      <c r="AX16" s="8">
        <f t="shared" si="11"/>
        <v>3.25</v>
      </c>
      <c r="AY16" s="8">
        <f t="shared" si="12"/>
        <v>3.5</v>
      </c>
      <c r="AZ16" s="9">
        <f t="shared" si="13"/>
        <v>0</v>
      </c>
      <c r="BA16" s="6">
        <v>1</v>
      </c>
      <c r="BB16" s="6"/>
    </row>
    <row r="17" spans="1:54" x14ac:dyDescent="0.45">
      <c r="A17" s="6" t="s">
        <v>138</v>
      </c>
      <c r="B17" s="6">
        <v>17</v>
      </c>
      <c r="C17" s="6">
        <v>0</v>
      </c>
      <c r="D17" s="6">
        <v>1</v>
      </c>
      <c r="E17" s="6">
        <v>1</v>
      </c>
      <c r="F17" s="6">
        <v>52</v>
      </c>
      <c r="G17" s="6">
        <v>25</v>
      </c>
      <c r="H17" s="6">
        <v>3</v>
      </c>
      <c r="I17" s="6"/>
      <c r="J17" s="6">
        <v>3</v>
      </c>
      <c r="K17" s="6">
        <v>3</v>
      </c>
      <c r="L17" s="6"/>
      <c r="M17" s="6">
        <v>2</v>
      </c>
      <c r="N17" s="6">
        <v>1</v>
      </c>
      <c r="O17" s="6">
        <v>4</v>
      </c>
      <c r="P17" s="6">
        <v>4</v>
      </c>
      <c r="Q17" s="6">
        <v>3</v>
      </c>
      <c r="R17" s="6">
        <v>4</v>
      </c>
      <c r="S17" s="6">
        <v>4</v>
      </c>
      <c r="T17" s="6">
        <v>4</v>
      </c>
      <c r="U17" s="6">
        <v>4</v>
      </c>
      <c r="V17" s="6">
        <v>4</v>
      </c>
      <c r="W17" s="6">
        <v>2</v>
      </c>
      <c r="X17" s="6">
        <v>2</v>
      </c>
      <c r="Y17" s="6">
        <v>4</v>
      </c>
      <c r="Z17" s="6">
        <v>1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8">
        <f t="shared" si="0"/>
        <v>3.875</v>
      </c>
      <c r="AN17" s="8">
        <f t="shared" si="1"/>
        <v>4</v>
      </c>
      <c r="AO17" s="8">
        <f t="shared" si="2"/>
        <v>4</v>
      </c>
      <c r="AP17" s="8">
        <f t="shared" si="3"/>
        <v>3.5</v>
      </c>
      <c r="AQ17" s="8">
        <f t="shared" si="4"/>
        <v>4</v>
      </c>
      <c r="AR17" s="8">
        <f t="shared" si="5"/>
        <v>4</v>
      </c>
      <c r="AS17" s="8">
        <f t="shared" si="6"/>
        <v>2.25</v>
      </c>
      <c r="AT17" s="8" t="str">
        <f t="shared" si="7"/>
        <v/>
      </c>
      <c r="AU17" s="8" t="str">
        <f t="shared" si="8"/>
        <v/>
      </c>
      <c r="AV17" s="8" t="str">
        <f t="shared" si="9"/>
        <v/>
      </c>
      <c r="AW17" s="8" t="str">
        <f t="shared" si="10"/>
        <v/>
      </c>
      <c r="AX17" s="8" t="str">
        <f t="shared" si="11"/>
        <v/>
      </c>
      <c r="AY17" s="8" t="str">
        <f t="shared" si="12"/>
        <v/>
      </c>
      <c r="AZ17" s="9" t="str">
        <f t="shared" si="13"/>
        <v/>
      </c>
      <c r="BA17" s="6">
        <v>1</v>
      </c>
      <c r="BB17" s="6"/>
    </row>
    <row r="18" spans="1:54" x14ac:dyDescent="0.45">
      <c r="A18" s="6" t="s">
        <v>140</v>
      </c>
      <c r="B18" s="6">
        <v>18</v>
      </c>
      <c r="C18" s="6">
        <v>1</v>
      </c>
      <c r="D18" s="6">
        <v>2</v>
      </c>
      <c r="E18" s="6">
        <v>1</v>
      </c>
      <c r="F18" s="6">
        <v>54</v>
      </c>
      <c r="G18" s="6">
        <v>20</v>
      </c>
      <c r="H18" s="6">
        <v>1</v>
      </c>
      <c r="I18" s="6"/>
      <c r="J18" s="6">
        <v>4</v>
      </c>
      <c r="K18" s="6">
        <v>4</v>
      </c>
      <c r="L18" s="6"/>
      <c r="M18" s="6">
        <v>3</v>
      </c>
      <c r="N18" s="6">
        <v>2</v>
      </c>
      <c r="O18" s="6">
        <v>3</v>
      </c>
      <c r="P18" s="6">
        <v>4</v>
      </c>
      <c r="Q18" s="6">
        <v>4</v>
      </c>
      <c r="R18" s="6">
        <v>4</v>
      </c>
      <c r="S18" s="6">
        <v>4</v>
      </c>
      <c r="T18" s="6">
        <v>4</v>
      </c>
      <c r="U18" s="6">
        <v>4</v>
      </c>
      <c r="V18" s="6">
        <v>4</v>
      </c>
      <c r="W18" s="6">
        <v>2</v>
      </c>
      <c r="X18" s="6">
        <v>2</v>
      </c>
      <c r="Y18" s="6">
        <v>2</v>
      </c>
      <c r="Z18" s="6">
        <v>2</v>
      </c>
      <c r="AA18" s="6">
        <v>3</v>
      </c>
      <c r="AB18" s="6">
        <v>4</v>
      </c>
      <c r="AC18" s="6">
        <v>4</v>
      </c>
      <c r="AD18" s="6">
        <v>4</v>
      </c>
      <c r="AE18" s="6">
        <v>3</v>
      </c>
      <c r="AF18" s="6">
        <v>3</v>
      </c>
      <c r="AG18" s="6">
        <v>4</v>
      </c>
      <c r="AH18" s="6">
        <v>3</v>
      </c>
      <c r="AI18" s="6">
        <v>4</v>
      </c>
      <c r="AJ18" s="6">
        <v>4</v>
      </c>
      <c r="AK18" s="6">
        <v>4</v>
      </c>
      <c r="AL18" s="6">
        <v>4</v>
      </c>
      <c r="AM18" s="8">
        <f t="shared" si="0"/>
        <v>3.875</v>
      </c>
      <c r="AN18" s="8">
        <f t="shared" si="1"/>
        <v>3</v>
      </c>
      <c r="AO18" s="8">
        <f t="shared" si="2"/>
        <v>4</v>
      </c>
      <c r="AP18" s="8">
        <f t="shared" si="3"/>
        <v>4</v>
      </c>
      <c r="AQ18" s="8">
        <f t="shared" si="4"/>
        <v>4</v>
      </c>
      <c r="AR18" s="8">
        <f t="shared" si="5"/>
        <v>4</v>
      </c>
      <c r="AS18" s="8">
        <f t="shared" si="6"/>
        <v>2</v>
      </c>
      <c r="AT18" s="8">
        <f t="shared" si="7"/>
        <v>3.5</v>
      </c>
      <c r="AU18" s="8">
        <f t="shared" si="8"/>
        <v>4</v>
      </c>
      <c r="AV18" s="8">
        <f t="shared" si="9"/>
        <v>3</v>
      </c>
      <c r="AW18" s="8">
        <f t="shared" si="10"/>
        <v>3.5</v>
      </c>
      <c r="AX18" s="8">
        <f t="shared" si="11"/>
        <v>3.5</v>
      </c>
      <c r="AY18" s="8">
        <f t="shared" si="12"/>
        <v>4</v>
      </c>
      <c r="AZ18" s="9">
        <f t="shared" si="13"/>
        <v>1</v>
      </c>
      <c r="BA18" s="6">
        <v>1</v>
      </c>
      <c r="BB18" s="6"/>
    </row>
    <row r="19" spans="1:54" x14ac:dyDescent="0.45">
      <c r="A19" s="6" t="s">
        <v>141</v>
      </c>
      <c r="B19" s="6">
        <v>19</v>
      </c>
      <c r="C19" s="6">
        <v>0</v>
      </c>
      <c r="D19" s="6">
        <v>1</v>
      </c>
      <c r="E19" s="6">
        <v>1</v>
      </c>
      <c r="F19" s="6">
        <v>28</v>
      </c>
      <c r="G19" s="6">
        <v>3</v>
      </c>
      <c r="H19" s="6">
        <v>2</v>
      </c>
      <c r="I19" s="6"/>
      <c r="J19" s="6">
        <v>4</v>
      </c>
      <c r="K19" s="6">
        <v>2</v>
      </c>
      <c r="L19" s="6"/>
      <c r="M19" s="6">
        <v>2</v>
      </c>
      <c r="N19" s="6">
        <v>2</v>
      </c>
      <c r="O19" s="6">
        <v>3</v>
      </c>
      <c r="P19" s="6">
        <v>3</v>
      </c>
      <c r="Q19" s="6">
        <v>2</v>
      </c>
      <c r="R19" s="6">
        <v>2</v>
      </c>
      <c r="S19" s="6">
        <v>2</v>
      </c>
      <c r="T19" s="6">
        <v>1</v>
      </c>
      <c r="U19" s="6">
        <v>2</v>
      </c>
      <c r="V19" s="6">
        <v>4</v>
      </c>
      <c r="W19" s="6">
        <v>1</v>
      </c>
      <c r="X19" s="6">
        <v>1</v>
      </c>
      <c r="Y19" s="6">
        <v>1</v>
      </c>
      <c r="Z19" s="6">
        <v>1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8">
        <f t="shared" si="0"/>
        <v>2.375</v>
      </c>
      <c r="AN19" s="8">
        <f t="shared" si="1"/>
        <v>3</v>
      </c>
      <c r="AO19" s="8">
        <f t="shared" si="2"/>
        <v>3</v>
      </c>
      <c r="AP19" s="8">
        <f t="shared" si="3"/>
        <v>2</v>
      </c>
      <c r="AQ19" s="8">
        <f t="shared" si="4"/>
        <v>1.5</v>
      </c>
      <c r="AR19" s="8">
        <f t="shared" si="5"/>
        <v>3</v>
      </c>
      <c r="AS19" s="8">
        <f t="shared" si="6"/>
        <v>1</v>
      </c>
      <c r="AT19" s="8" t="str">
        <f t="shared" si="7"/>
        <v/>
      </c>
      <c r="AU19" s="8" t="str">
        <f t="shared" si="8"/>
        <v/>
      </c>
      <c r="AV19" s="8" t="str">
        <f t="shared" si="9"/>
        <v/>
      </c>
      <c r="AW19" s="8" t="str">
        <f t="shared" si="10"/>
        <v/>
      </c>
      <c r="AX19" s="8" t="str">
        <f t="shared" si="11"/>
        <v/>
      </c>
      <c r="AY19" s="8" t="str">
        <f t="shared" si="12"/>
        <v/>
      </c>
      <c r="AZ19" s="9" t="str">
        <f t="shared" si="13"/>
        <v/>
      </c>
      <c r="BA19" s="6">
        <v>1</v>
      </c>
      <c r="BB19" s="6"/>
    </row>
    <row r="20" spans="1:54" x14ac:dyDescent="0.45">
      <c r="A20" s="6" t="s">
        <v>142</v>
      </c>
      <c r="B20" s="6">
        <v>20</v>
      </c>
      <c r="C20" s="6">
        <v>1</v>
      </c>
      <c r="D20" s="6">
        <v>2</v>
      </c>
      <c r="E20" s="6">
        <v>1</v>
      </c>
      <c r="F20" s="6">
        <v>34</v>
      </c>
      <c r="G20" s="6">
        <v>2</v>
      </c>
      <c r="H20" s="6">
        <v>1</v>
      </c>
      <c r="I20" s="6"/>
      <c r="J20" s="6">
        <v>2</v>
      </c>
      <c r="K20" s="6">
        <v>2</v>
      </c>
      <c r="L20" s="6"/>
      <c r="M20" s="6">
        <v>1</v>
      </c>
      <c r="N20" s="6">
        <v>2</v>
      </c>
      <c r="O20" s="6">
        <v>3</v>
      </c>
      <c r="P20" s="6">
        <v>4</v>
      </c>
      <c r="Q20" s="6">
        <v>4</v>
      </c>
      <c r="R20" s="6">
        <v>4</v>
      </c>
      <c r="S20" s="6">
        <v>3</v>
      </c>
      <c r="T20" s="6">
        <v>3</v>
      </c>
      <c r="U20" s="6">
        <v>4</v>
      </c>
      <c r="V20" s="6">
        <v>4</v>
      </c>
      <c r="W20" s="6">
        <v>3</v>
      </c>
      <c r="X20" s="6">
        <v>3</v>
      </c>
      <c r="Y20" s="6">
        <v>3</v>
      </c>
      <c r="Z20" s="6">
        <v>3</v>
      </c>
      <c r="AA20" s="6">
        <v>3</v>
      </c>
      <c r="AB20" s="6">
        <v>4</v>
      </c>
      <c r="AC20" s="6">
        <v>3</v>
      </c>
      <c r="AD20" s="6">
        <v>3</v>
      </c>
      <c r="AE20" s="6">
        <v>2</v>
      </c>
      <c r="AF20" s="6">
        <v>3</v>
      </c>
      <c r="AG20" s="6">
        <v>4</v>
      </c>
      <c r="AH20" s="6">
        <v>3</v>
      </c>
      <c r="AI20" s="6">
        <v>4</v>
      </c>
      <c r="AJ20" s="6">
        <v>4</v>
      </c>
      <c r="AK20" s="6">
        <v>4</v>
      </c>
      <c r="AL20" s="6">
        <v>3</v>
      </c>
      <c r="AM20" s="8">
        <f t="shared" si="0"/>
        <v>3.625</v>
      </c>
      <c r="AN20" s="8">
        <f t="shared" si="1"/>
        <v>3</v>
      </c>
      <c r="AO20" s="8">
        <f t="shared" si="2"/>
        <v>4</v>
      </c>
      <c r="AP20" s="8">
        <f t="shared" si="3"/>
        <v>4</v>
      </c>
      <c r="AQ20" s="8">
        <f t="shared" si="4"/>
        <v>3</v>
      </c>
      <c r="AR20" s="8">
        <f t="shared" si="5"/>
        <v>4</v>
      </c>
      <c r="AS20" s="8">
        <f t="shared" si="6"/>
        <v>3</v>
      </c>
      <c r="AT20" s="8">
        <f t="shared" si="7"/>
        <v>3.5</v>
      </c>
      <c r="AU20" s="8">
        <f t="shared" si="8"/>
        <v>3</v>
      </c>
      <c r="AV20" s="8">
        <f t="shared" si="9"/>
        <v>2.5</v>
      </c>
      <c r="AW20" s="8">
        <f t="shared" si="10"/>
        <v>3.5</v>
      </c>
      <c r="AX20" s="8">
        <f t="shared" si="11"/>
        <v>3.125</v>
      </c>
      <c r="AY20" s="8">
        <f t="shared" si="12"/>
        <v>3.75</v>
      </c>
      <c r="AZ20" s="9">
        <f t="shared" si="13"/>
        <v>0</v>
      </c>
      <c r="BA20" s="6">
        <v>1</v>
      </c>
      <c r="BB20" s="6"/>
    </row>
    <row r="21" spans="1:54" x14ac:dyDescent="0.45">
      <c r="A21" s="6" t="s">
        <v>143</v>
      </c>
      <c r="B21" s="6">
        <v>21</v>
      </c>
      <c r="C21" s="6">
        <v>0</v>
      </c>
      <c r="D21" s="6">
        <v>1</v>
      </c>
      <c r="E21" s="6">
        <v>1</v>
      </c>
      <c r="F21" s="6">
        <v>65</v>
      </c>
      <c r="G21" s="6">
        <v>45</v>
      </c>
      <c r="H21" s="6">
        <v>3</v>
      </c>
      <c r="I21" s="6"/>
      <c r="J21" s="6">
        <v>2</v>
      </c>
      <c r="K21" s="6">
        <v>5</v>
      </c>
      <c r="L21" s="6" t="s">
        <v>144</v>
      </c>
      <c r="M21" s="6">
        <v>1</v>
      </c>
      <c r="N21" s="6">
        <v>1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  <c r="V21" s="6">
        <v>5</v>
      </c>
      <c r="W21" s="6">
        <v>1</v>
      </c>
      <c r="X21" s="6">
        <v>1</v>
      </c>
      <c r="Y21" s="6">
        <v>1</v>
      </c>
      <c r="Z21" s="6">
        <v>1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8">
        <f t="shared" si="0"/>
        <v>5</v>
      </c>
      <c r="AN21" s="8">
        <f t="shared" si="1"/>
        <v>5</v>
      </c>
      <c r="AO21" s="8">
        <f t="shared" si="2"/>
        <v>5</v>
      </c>
      <c r="AP21" s="8">
        <f t="shared" si="3"/>
        <v>5</v>
      </c>
      <c r="AQ21" s="8">
        <f t="shared" si="4"/>
        <v>5</v>
      </c>
      <c r="AR21" s="8">
        <f t="shared" si="5"/>
        <v>5</v>
      </c>
      <c r="AS21" s="8">
        <f t="shared" si="6"/>
        <v>1</v>
      </c>
      <c r="AT21" s="8" t="str">
        <f t="shared" si="7"/>
        <v/>
      </c>
      <c r="AU21" s="8" t="str">
        <f t="shared" si="8"/>
        <v/>
      </c>
      <c r="AV21" s="8" t="str">
        <f t="shared" si="9"/>
        <v/>
      </c>
      <c r="AW21" s="8" t="str">
        <f t="shared" si="10"/>
        <v/>
      </c>
      <c r="AX21" s="8" t="str">
        <f t="shared" si="11"/>
        <v/>
      </c>
      <c r="AY21" s="8" t="str">
        <f t="shared" si="12"/>
        <v/>
      </c>
      <c r="AZ21" s="9" t="str">
        <f t="shared" si="13"/>
        <v/>
      </c>
      <c r="BA21" s="6">
        <v>1</v>
      </c>
      <c r="BB21" s="6"/>
    </row>
    <row r="22" spans="1:54" x14ac:dyDescent="0.45">
      <c r="A22" s="6" t="s">
        <v>145</v>
      </c>
      <c r="B22" s="6">
        <v>22</v>
      </c>
      <c r="C22" s="6">
        <v>1</v>
      </c>
      <c r="D22" s="6">
        <v>1</v>
      </c>
      <c r="E22" s="6">
        <v>1</v>
      </c>
      <c r="F22" s="6">
        <v>66</v>
      </c>
      <c r="G22" s="6">
        <v>33</v>
      </c>
      <c r="H22" s="6">
        <v>3</v>
      </c>
      <c r="I22" s="6"/>
      <c r="J22" s="6">
        <v>1</v>
      </c>
      <c r="K22" s="6">
        <v>2</v>
      </c>
      <c r="L22" s="6"/>
      <c r="M22" s="6">
        <v>1</v>
      </c>
      <c r="N22" s="6">
        <v>1</v>
      </c>
      <c r="O22" s="6">
        <v>5</v>
      </c>
      <c r="P22" s="6">
        <v>5</v>
      </c>
      <c r="Q22" s="6">
        <v>4</v>
      </c>
      <c r="R22" s="6">
        <v>4</v>
      </c>
      <c r="S22" s="6">
        <v>5</v>
      </c>
      <c r="T22" s="6">
        <v>4</v>
      </c>
      <c r="U22" s="6">
        <v>5</v>
      </c>
      <c r="V22" s="6">
        <v>5</v>
      </c>
      <c r="W22" s="6">
        <v>5</v>
      </c>
      <c r="X22" s="6">
        <v>5</v>
      </c>
      <c r="Y22" s="6">
        <v>5</v>
      </c>
      <c r="Z22" s="6">
        <v>5</v>
      </c>
      <c r="AA22" s="6">
        <v>1</v>
      </c>
      <c r="AB22" s="6">
        <v>2</v>
      </c>
      <c r="AC22" s="6">
        <v>4</v>
      </c>
      <c r="AD22" s="6">
        <v>4</v>
      </c>
      <c r="AE22" s="6">
        <v>5</v>
      </c>
      <c r="AF22" s="6">
        <v>5</v>
      </c>
      <c r="AG22" s="6">
        <v>5</v>
      </c>
      <c r="AH22" s="6">
        <v>5</v>
      </c>
      <c r="AI22" s="6">
        <v>5</v>
      </c>
      <c r="AJ22" s="6">
        <v>5</v>
      </c>
      <c r="AK22" s="6">
        <v>5</v>
      </c>
      <c r="AL22" s="6">
        <v>5</v>
      </c>
      <c r="AM22" s="8">
        <f t="shared" si="0"/>
        <v>4.625</v>
      </c>
      <c r="AN22" s="8">
        <f t="shared" si="1"/>
        <v>5</v>
      </c>
      <c r="AO22" s="8">
        <f t="shared" si="2"/>
        <v>5</v>
      </c>
      <c r="AP22" s="8">
        <f t="shared" si="3"/>
        <v>4</v>
      </c>
      <c r="AQ22" s="8">
        <f t="shared" si="4"/>
        <v>4.5</v>
      </c>
      <c r="AR22" s="8">
        <f t="shared" si="5"/>
        <v>5</v>
      </c>
      <c r="AS22" s="8">
        <f t="shared" si="6"/>
        <v>5</v>
      </c>
      <c r="AT22" s="8">
        <f t="shared" si="7"/>
        <v>1.5</v>
      </c>
      <c r="AU22" s="8">
        <f t="shared" si="8"/>
        <v>4</v>
      </c>
      <c r="AV22" s="8">
        <f t="shared" si="9"/>
        <v>5</v>
      </c>
      <c r="AW22" s="8">
        <f t="shared" si="10"/>
        <v>5</v>
      </c>
      <c r="AX22" s="8">
        <f t="shared" si="11"/>
        <v>3.875</v>
      </c>
      <c r="AY22" s="8">
        <f t="shared" si="12"/>
        <v>5</v>
      </c>
      <c r="AZ22" s="9">
        <f t="shared" si="13"/>
        <v>0</v>
      </c>
      <c r="BA22" s="6">
        <v>1</v>
      </c>
      <c r="BB22" s="6"/>
    </row>
    <row r="23" spans="1:54" x14ac:dyDescent="0.45">
      <c r="A23" s="6" t="s">
        <v>146</v>
      </c>
      <c r="B23" s="6">
        <v>23</v>
      </c>
      <c r="C23" s="6">
        <v>0</v>
      </c>
      <c r="D23" s="6">
        <v>1</v>
      </c>
      <c r="E23" s="6">
        <v>1</v>
      </c>
      <c r="F23" s="6">
        <v>56</v>
      </c>
      <c r="G23" s="6">
        <v>30</v>
      </c>
      <c r="H23" s="6">
        <v>3</v>
      </c>
      <c r="I23" s="6"/>
      <c r="J23" s="6">
        <v>2</v>
      </c>
      <c r="K23" s="6">
        <v>2</v>
      </c>
      <c r="L23" s="6"/>
      <c r="M23" s="6">
        <v>2</v>
      </c>
      <c r="N23" s="6">
        <v>2</v>
      </c>
      <c r="O23" s="6">
        <v>4</v>
      </c>
      <c r="P23" s="6">
        <v>5</v>
      </c>
      <c r="Q23" s="6">
        <v>3</v>
      </c>
      <c r="R23" s="6">
        <v>3</v>
      </c>
      <c r="S23" s="6">
        <v>3</v>
      </c>
      <c r="T23" s="6">
        <v>3</v>
      </c>
      <c r="U23" s="6">
        <v>4</v>
      </c>
      <c r="V23" s="6">
        <v>4</v>
      </c>
      <c r="W23" s="6">
        <v>3</v>
      </c>
      <c r="X23" s="6">
        <v>2</v>
      </c>
      <c r="Y23" s="6">
        <v>2</v>
      </c>
      <c r="Z23" s="6">
        <v>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8">
        <f t="shared" si="0"/>
        <v>3.625</v>
      </c>
      <c r="AN23" s="8">
        <f t="shared" si="1"/>
        <v>4</v>
      </c>
      <c r="AO23" s="8">
        <f t="shared" si="2"/>
        <v>5</v>
      </c>
      <c r="AP23" s="8">
        <f t="shared" si="3"/>
        <v>3</v>
      </c>
      <c r="AQ23" s="8">
        <f t="shared" si="4"/>
        <v>3</v>
      </c>
      <c r="AR23" s="8">
        <f t="shared" si="5"/>
        <v>4</v>
      </c>
      <c r="AS23" s="8">
        <f t="shared" si="6"/>
        <v>2.5</v>
      </c>
      <c r="AT23" s="8" t="str">
        <f t="shared" si="7"/>
        <v/>
      </c>
      <c r="AU23" s="8" t="str">
        <f t="shared" si="8"/>
        <v/>
      </c>
      <c r="AV23" s="8" t="str">
        <f t="shared" si="9"/>
        <v/>
      </c>
      <c r="AW23" s="8" t="str">
        <f t="shared" si="10"/>
        <v/>
      </c>
      <c r="AX23" s="8" t="str">
        <f t="shared" si="11"/>
        <v/>
      </c>
      <c r="AY23" s="8" t="str">
        <f t="shared" si="12"/>
        <v/>
      </c>
      <c r="AZ23" s="9" t="str">
        <f t="shared" si="13"/>
        <v/>
      </c>
      <c r="BA23" s="6">
        <v>1</v>
      </c>
      <c r="BB23" s="6"/>
    </row>
    <row r="24" spans="1:54" x14ac:dyDescent="0.45">
      <c r="A24" s="6" t="s">
        <v>147</v>
      </c>
      <c r="B24" s="6">
        <v>24</v>
      </c>
      <c r="C24" s="6">
        <v>0</v>
      </c>
      <c r="D24" s="6">
        <v>1</v>
      </c>
      <c r="E24" s="6">
        <v>1</v>
      </c>
      <c r="F24" s="6">
        <v>63</v>
      </c>
      <c r="G24" s="6">
        <v>33</v>
      </c>
      <c r="H24" s="6">
        <v>2</v>
      </c>
      <c r="I24" s="6"/>
      <c r="J24" s="6">
        <v>4</v>
      </c>
      <c r="K24" s="6">
        <v>2</v>
      </c>
      <c r="L24" s="6"/>
      <c r="M24" s="6">
        <v>1</v>
      </c>
      <c r="N24" s="6">
        <v>3</v>
      </c>
      <c r="O24" s="6">
        <v>3</v>
      </c>
      <c r="P24" s="6">
        <v>4</v>
      </c>
      <c r="Q24" s="6">
        <v>2</v>
      </c>
      <c r="R24" s="6">
        <v>2</v>
      </c>
      <c r="S24" s="6">
        <v>3</v>
      </c>
      <c r="T24" s="6">
        <v>3</v>
      </c>
      <c r="U24" s="6">
        <v>3</v>
      </c>
      <c r="V24" s="6">
        <v>3</v>
      </c>
      <c r="W24" s="6">
        <v>4</v>
      </c>
      <c r="X24" s="6">
        <v>4</v>
      </c>
      <c r="Y24" s="6">
        <v>4</v>
      </c>
      <c r="Z24" s="6">
        <v>4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8">
        <f t="shared" si="0"/>
        <v>2.875</v>
      </c>
      <c r="AN24" s="8">
        <f t="shared" si="1"/>
        <v>3</v>
      </c>
      <c r="AO24" s="8">
        <f t="shared" si="2"/>
        <v>4</v>
      </c>
      <c r="AP24" s="8">
        <f t="shared" si="3"/>
        <v>2</v>
      </c>
      <c r="AQ24" s="8">
        <f t="shared" si="4"/>
        <v>3</v>
      </c>
      <c r="AR24" s="8">
        <f t="shared" si="5"/>
        <v>3</v>
      </c>
      <c r="AS24" s="8">
        <f t="shared" si="6"/>
        <v>4</v>
      </c>
      <c r="AT24" s="8" t="str">
        <f t="shared" si="7"/>
        <v/>
      </c>
      <c r="AU24" s="8" t="str">
        <f t="shared" si="8"/>
        <v/>
      </c>
      <c r="AV24" s="8" t="str">
        <f t="shared" si="9"/>
        <v/>
      </c>
      <c r="AW24" s="8" t="str">
        <f t="shared" si="10"/>
        <v/>
      </c>
      <c r="AX24" s="8" t="str">
        <f t="shared" si="11"/>
        <v/>
      </c>
      <c r="AY24" s="8" t="str">
        <f t="shared" si="12"/>
        <v/>
      </c>
      <c r="AZ24" s="9" t="str">
        <f t="shared" si="13"/>
        <v/>
      </c>
      <c r="BA24" s="6">
        <v>1</v>
      </c>
      <c r="BB24" s="6"/>
    </row>
    <row r="25" spans="1:54" x14ac:dyDescent="0.45">
      <c r="A25" s="6" t="s">
        <v>148</v>
      </c>
      <c r="B25" s="6">
        <v>25</v>
      </c>
      <c r="C25" s="6">
        <v>1</v>
      </c>
      <c r="D25" s="6">
        <v>1</v>
      </c>
      <c r="E25" s="6">
        <v>1</v>
      </c>
      <c r="F25" s="6">
        <v>64</v>
      </c>
      <c r="G25" s="6">
        <v>1</v>
      </c>
      <c r="H25" s="6">
        <v>3</v>
      </c>
      <c r="I25" s="6"/>
      <c r="J25" s="6">
        <v>3</v>
      </c>
      <c r="K25" s="6">
        <v>5</v>
      </c>
      <c r="L25" s="6" t="s">
        <v>149</v>
      </c>
      <c r="M25" s="6">
        <v>2</v>
      </c>
      <c r="N25" s="6">
        <v>1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3</v>
      </c>
      <c r="X25" s="6">
        <v>1</v>
      </c>
      <c r="Y25" s="6">
        <v>1</v>
      </c>
      <c r="Z25" s="6">
        <v>1</v>
      </c>
      <c r="AA25" s="6">
        <v>5</v>
      </c>
      <c r="AB25" s="6">
        <v>5</v>
      </c>
      <c r="AC25" s="6">
        <v>5</v>
      </c>
      <c r="AD25" s="6">
        <v>1</v>
      </c>
      <c r="AE25" s="6">
        <v>2</v>
      </c>
      <c r="AF25" s="6">
        <v>3</v>
      </c>
      <c r="AG25" s="6">
        <v>5</v>
      </c>
      <c r="AH25" s="6">
        <v>5</v>
      </c>
      <c r="AI25" s="6">
        <v>1</v>
      </c>
      <c r="AJ25" s="6">
        <v>1</v>
      </c>
      <c r="AK25" s="6">
        <v>5</v>
      </c>
      <c r="AL25" s="6">
        <v>1</v>
      </c>
      <c r="AM25" s="8">
        <f t="shared" si="0"/>
        <v>5</v>
      </c>
      <c r="AN25" s="8">
        <f t="shared" si="1"/>
        <v>5</v>
      </c>
      <c r="AO25" s="8">
        <f t="shared" si="2"/>
        <v>5</v>
      </c>
      <c r="AP25" s="8">
        <f t="shared" si="3"/>
        <v>5</v>
      </c>
      <c r="AQ25" s="8">
        <f t="shared" si="4"/>
        <v>5</v>
      </c>
      <c r="AR25" s="8">
        <f t="shared" si="5"/>
        <v>5</v>
      </c>
      <c r="AS25" s="8">
        <f t="shared" si="6"/>
        <v>1.5</v>
      </c>
      <c r="AT25" s="8">
        <f t="shared" si="7"/>
        <v>5</v>
      </c>
      <c r="AU25" s="8">
        <f t="shared" si="8"/>
        <v>3</v>
      </c>
      <c r="AV25" s="8">
        <f t="shared" si="9"/>
        <v>2.5</v>
      </c>
      <c r="AW25" s="8">
        <f t="shared" si="10"/>
        <v>5</v>
      </c>
      <c r="AX25" s="8">
        <f t="shared" si="11"/>
        <v>3.875</v>
      </c>
      <c r="AY25" s="8">
        <f t="shared" si="12"/>
        <v>2</v>
      </c>
      <c r="AZ25" s="9">
        <f t="shared" si="13"/>
        <v>0</v>
      </c>
      <c r="BA25" s="6">
        <v>1</v>
      </c>
      <c r="BB25" s="6"/>
    </row>
    <row r="26" spans="1:54" x14ac:dyDescent="0.45">
      <c r="A26" s="6" t="s">
        <v>150</v>
      </c>
      <c r="B26" s="6">
        <v>26</v>
      </c>
      <c r="C26" s="6">
        <v>0</v>
      </c>
      <c r="D26" s="6">
        <v>1</v>
      </c>
      <c r="E26" s="6">
        <v>1</v>
      </c>
      <c r="F26" s="6">
        <v>48</v>
      </c>
      <c r="G26" s="6">
        <v>25</v>
      </c>
      <c r="H26" s="6">
        <v>3</v>
      </c>
      <c r="I26" s="6"/>
      <c r="J26" s="6">
        <v>4</v>
      </c>
      <c r="K26" s="6">
        <v>3</v>
      </c>
      <c r="L26" s="6"/>
      <c r="M26" s="6">
        <v>3</v>
      </c>
      <c r="N26" s="6">
        <v>1</v>
      </c>
      <c r="O26" s="6">
        <v>5</v>
      </c>
      <c r="P26" s="6">
        <v>5</v>
      </c>
      <c r="Q26" s="6">
        <v>5</v>
      </c>
      <c r="R26" s="6">
        <v>5</v>
      </c>
      <c r="S26" s="6">
        <v>5</v>
      </c>
      <c r="T26" s="6">
        <v>5</v>
      </c>
      <c r="U26" s="6">
        <v>5</v>
      </c>
      <c r="V26" s="6">
        <v>5</v>
      </c>
      <c r="W26" s="6">
        <v>2</v>
      </c>
      <c r="X26" s="6">
        <v>4</v>
      </c>
      <c r="Y26" s="6">
        <v>2</v>
      </c>
      <c r="Z26" s="6">
        <v>2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8">
        <f t="shared" si="0"/>
        <v>5</v>
      </c>
      <c r="AN26" s="8">
        <f t="shared" si="1"/>
        <v>5</v>
      </c>
      <c r="AO26" s="8">
        <f t="shared" si="2"/>
        <v>5</v>
      </c>
      <c r="AP26" s="8">
        <f t="shared" si="3"/>
        <v>5</v>
      </c>
      <c r="AQ26" s="8">
        <f t="shared" si="4"/>
        <v>5</v>
      </c>
      <c r="AR26" s="8">
        <f t="shared" si="5"/>
        <v>5</v>
      </c>
      <c r="AS26" s="8">
        <f t="shared" si="6"/>
        <v>2.5</v>
      </c>
      <c r="AT26" s="8" t="str">
        <f t="shared" si="7"/>
        <v/>
      </c>
      <c r="AU26" s="8" t="str">
        <f t="shared" si="8"/>
        <v/>
      </c>
      <c r="AV26" s="8" t="str">
        <f t="shared" si="9"/>
        <v/>
      </c>
      <c r="AW26" s="8" t="str">
        <f t="shared" si="10"/>
        <v/>
      </c>
      <c r="AX26" s="8" t="str">
        <f t="shared" si="11"/>
        <v/>
      </c>
      <c r="AY26" s="8" t="str">
        <f t="shared" si="12"/>
        <v/>
      </c>
      <c r="AZ26" s="9" t="str">
        <f t="shared" si="13"/>
        <v/>
      </c>
      <c r="BA26" s="6">
        <v>1</v>
      </c>
      <c r="BB26" s="6"/>
    </row>
    <row r="27" spans="1:54" x14ac:dyDescent="0.45">
      <c r="A27" s="6" t="s">
        <v>151</v>
      </c>
      <c r="B27" s="6">
        <v>27</v>
      </c>
      <c r="C27" s="6">
        <v>1</v>
      </c>
      <c r="D27" s="6">
        <v>2</v>
      </c>
      <c r="E27" s="6">
        <v>1</v>
      </c>
      <c r="F27" s="6">
        <v>45</v>
      </c>
      <c r="G27" s="6">
        <v>12</v>
      </c>
      <c r="H27" s="6">
        <v>1</v>
      </c>
      <c r="I27" s="6"/>
      <c r="J27" s="6">
        <v>3</v>
      </c>
      <c r="K27" s="6">
        <v>3</v>
      </c>
      <c r="L27" s="6"/>
      <c r="M27" s="6">
        <v>2</v>
      </c>
      <c r="N27" s="6">
        <v>2</v>
      </c>
      <c r="O27" s="6">
        <v>5</v>
      </c>
      <c r="P27" s="6">
        <v>5</v>
      </c>
      <c r="Q27" s="6">
        <v>5</v>
      </c>
      <c r="R27" s="6">
        <v>5</v>
      </c>
      <c r="S27" s="6">
        <v>5</v>
      </c>
      <c r="T27" s="6">
        <v>5</v>
      </c>
      <c r="U27" s="6">
        <v>5</v>
      </c>
      <c r="V27" s="6">
        <v>5</v>
      </c>
      <c r="W27" s="6">
        <v>2</v>
      </c>
      <c r="X27" s="6">
        <v>2</v>
      </c>
      <c r="Y27" s="6">
        <v>2</v>
      </c>
      <c r="Z27" s="6">
        <v>5</v>
      </c>
      <c r="AA27" s="6">
        <v>5</v>
      </c>
      <c r="AB27" s="6">
        <v>5</v>
      </c>
      <c r="AC27" s="6">
        <v>5</v>
      </c>
      <c r="AD27" s="6">
        <v>5</v>
      </c>
      <c r="AE27" s="6">
        <v>5</v>
      </c>
      <c r="AF27" s="6">
        <v>5</v>
      </c>
      <c r="AG27" s="6">
        <v>5</v>
      </c>
      <c r="AH27" s="6">
        <v>5</v>
      </c>
      <c r="AI27" s="6">
        <v>5</v>
      </c>
      <c r="AJ27" s="6">
        <v>5</v>
      </c>
      <c r="AK27" s="6">
        <v>5</v>
      </c>
      <c r="AL27" s="6">
        <v>5</v>
      </c>
      <c r="AM27" s="8">
        <f t="shared" si="0"/>
        <v>5</v>
      </c>
      <c r="AN27" s="8">
        <f t="shared" si="1"/>
        <v>5</v>
      </c>
      <c r="AO27" s="8">
        <f t="shared" si="2"/>
        <v>5</v>
      </c>
      <c r="AP27" s="8">
        <f t="shared" si="3"/>
        <v>5</v>
      </c>
      <c r="AQ27" s="8">
        <f t="shared" si="4"/>
        <v>5</v>
      </c>
      <c r="AR27" s="8">
        <f t="shared" si="5"/>
        <v>5</v>
      </c>
      <c r="AS27" s="8">
        <f t="shared" si="6"/>
        <v>2.75</v>
      </c>
      <c r="AT27" s="8">
        <f t="shared" si="7"/>
        <v>5</v>
      </c>
      <c r="AU27" s="8">
        <f t="shared" si="8"/>
        <v>5</v>
      </c>
      <c r="AV27" s="8">
        <f t="shared" si="9"/>
        <v>5</v>
      </c>
      <c r="AW27" s="8">
        <f t="shared" si="10"/>
        <v>5</v>
      </c>
      <c r="AX27" s="8">
        <f t="shared" si="11"/>
        <v>5</v>
      </c>
      <c r="AY27" s="8">
        <f t="shared" si="12"/>
        <v>5</v>
      </c>
      <c r="AZ27" s="9">
        <f t="shared" si="13"/>
        <v>0</v>
      </c>
      <c r="BA27" s="6">
        <v>1</v>
      </c>
      <c r="BB27" s="6"/>
    </row>
    <row r="28" spans="1:54" x14ac:dyDescent="0.45">
      <c r="A28" s="6" t="s">
        <v>152</v>
      </c>
      <c r="B28" s="6">
        <v>28</v>
      </c>
      <c r="C28" s="6">
        <v>0</v>
      </c>
      <c r="D28" s="6">
        <v>2</v>
      </c>
      <c r="E28" s="6">
        <v>1</v>
      </c>
      <c r="F28" s="6">
        <v>39</v>
      </c>
      <c r="G28" s="6">
        <v>15</v>
      </c>
      <c r="H28" s="6">
        <v>1</v>
      </c>
      <c r="I28" s="6"/>
      <c r="J28" s="6">
        <v>1</v>
      </c>
      <c r="K28" s="6">
        <v>1</v>
      </c>
      <c r="L28" s="6"/>
      <c r="M28" s="6">
        <v>2</v>
      </c>
      <c r="N28" s="6">
        <v>2</v>
      </c>
      <c r="O28" s="6">
        <v>2</v>
      </c>
      <c r="P28" s="6">
        <v>3</v>
      </c>
      <c r="Q28" s="6">
        <v>1</v>
      </c>
      <c r="R28" s="6">
        <v>2</v>
      </c>
      <c r="S28" s="6">
        <v>2</v>
      </c>
      <c r="T28" s="6">
        <v>1</v>
      </c>
      <c r="U28" s="6">
        <v>2</v>
      </c>
      <c r="V28" s="6">
        <v>2</v>
      </c>
      <c r="W28" s="6">
        <v>5</v>
      </c>
      <c r="X28" s="6">
        <v>4</v>
      </c>
      <c r="Y28" s="6">
        <v>4</v>
      </c>
      <c r="Z28" s="6">
        <v>4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8">
        <f t="shared" si="0"/>
        <v>1.875</v>
      </c>
      <c r="AN28" s="8">
        <f t="shared" si="1"/>
        <v>2</v>
      </c>
      <c r="AO28" s="8">
        <f t="shared" si="2"/>
        <v>3</v>
      </c>
      <c r="AP28" s="8">
        <f t="shared" si="3"/>
        <v>1.5</v>
      </c>
      <c r="AQ28" s="8">
        <f t="shared" si="4"/>
        <v>1.5</v>
      </c>
      <c r="AR28" s="8">
        <f t="shared" si="5"/>
        <v>2</v>
      </c>
      <c r="AS28" s="8">
        <f t="shared" si="6"/>
        <v>4.25</v>
      </c>
      <c r="AT28" s="8" t="str">
        <f t="shared" si="7"/>
        <v/>
      </c>
      <c r="AU28" s="8" t="str">
        <f t="shared" si="8"/>
        <v/>
      </c>
      <c r="AV28" s="8" t="str">
        <f t="shared" si="9"/>
        <v/>
      </c>
      <c r="AW28" s="8" t="str">
        <f t="shared" si="10"/>
        <v/>
      </c>
      <c r="AX28" s="8" t="str">
        <f t="shared" si="11"/>
        <v/>
      </c>
      <c r="AY28" s="8" t="str">
        <f t="shared" si="12"/>
        <v/>
      </c>
      <c r="AZ28" s="9" t="str">
        <f t="shared" si="13"/>
        <v/>
      </c>
      <c r="BA28" s="6">
        <v>1</v>
      </c>
      <c r="BB28" s="6"/>
    </row>
    <row r="29" spans="1:54" x14ac:dyDescent="0.45">
      <c r="A29" s="6" t="s">
        <v>153</v>
      </c>
      <c r="B29" s="6">
        <v>29</v>
      </c>
      <c r="C29" s="6">
        <v>1</v>
      </c>
      <c r="D29" s="6">
        <v>1</v>
      </c>
      <c r="E29" s="6">
        <v>1</v>
      </c>
      <c r="F29" s="6">
        <v>37</v>
      </c>
      <c r="G29" s="6">
        <v>11</v>
      </c>
      <c r="H29" s="6">
        <v>2</v>
      </c>
      <c r="I29" s="6"/>
      <c r="J29" s="6">
        <v>4</v>
      </c>
      <c r="K29" s="6">
        <v>4</v>
      </c>
      <c r="L29" s="6"/>
      <c r="M29" s="6">
        <v>1</v>
      </c>
      <c r="N29" s="6">
        <v>2</v>
      </c>
      <c r="O29" s="6">
        <v>4</v>
      </c>
      <c r="P29" s="6">
        <v>4</v>
      </c>
      <c r="Q29" s="6">
        <v>4</v>
      </c>
      <c r="R29" s="6">
        <v>3</v>
      </c>
      <c r="S29" s="6">
        <v>3</v>
      </c>
      <c r="T29" s="6">
        <v>3</v>
      </c>
      <c r="U29" s="6">
        <v>5</v>
      </c>
      <c r="V29" s="6">
        <v>5</v>
      </c>
      <c r="W29" s="6">
        <v>3</v>
      </c>
      <c r="X29" s="6">
        <v>3</v>
      </c>
      <c r="Y29" s="6">
        <v>4</v>
      </c>
      <c r="Z29" s="6">
        <v>5</v>
      </c>
      <c r="AA29" s="6">
        <v>3</v>
      </c>
      <c r="AB29" s="6">
        <v>2</v>
      </c>
      <c r="AC29" s="6">
        <v>3</v>
      </c>
      <c r="AD29" s="6">
        <v>2</v>
      </c>
      <c r="AE29" s="6">
        <v>3</v>
      </c>
      <c r="AF29" s="6">
        <v>3</v>
      </c>
      <c r="AG29" s="6">
        <v>2</v>
      </c>
      <c r="AH29" s="6">
        <v>3</v>
      </c>
      <c r="AI29" s="6">
        <v>3</v>
      </c>
      <c r="AJ29" s="6">
        <v>3</v>
      </c>
      <c r="AK29" s="6">
        <v>4</v>
      </c>
      <c r="AL29" s="6">
        <v>3</v>
      </c>
      <c r="AM29" s="8">
        <f t="shared" si="0"/>
        <v>3.875</v>
      </c>
      <c r="AN29" s="8">
        <f t="shared" si="1"/>
        <v>4</v>
      </c>
      <c r="AO29" s="8">
        <f t="shared" si="2"/>
        <v>4</v>
      </c>
      <c r="AP29" s="8">
        <f t="shared" si="3"/>
        <v>3.5</v>
      </c>
      <c r="AQ29" s="8">
        <f t="shared" si="4"/>
        <v>3</v>
      </c>
      <c r="AR29" s="8">
        <f t="shared" si="5"/>
        <v>5</v>
      </c>
      <c r="AS29" s="8">
        <f t="shared" si="6"/>
        <v>3.75</v>
      </c>
      <c r="AT29" s="8">
        <f t="shared" si="7"/>
        <v>2.5</v>
      </c>
      <c r="AU29" s="8">
        <f t="shared" si="8"/>
        <v>2.5</v>
      </c>
      <c r="AV29" s="8">
        <f t="shared" si="9"/>
        <v>3</v>
      </c>
      <c r="AW29" s="8">
        <f t="shared" si="10"/>
        <v>2.5</v>
      </c>
      <c r="AX29" s="8">
        <f t="shared" si="11"/>
        <v>2.625</v>
      </c>
      <c r="AY29" s="8">
        <f t="shared" si="12"/>
        <v>3.25</v>
      </c>
      <c r="AZ29" s="9">
        <f t="shared" si="13"/>
        <v>0</v>
      </c>
      <c r="BA29" s="6">
        <v>1</v>
      </c>
      <c r="BB29" s="6"/>
    </row>
    <row r="30" spans="1:54" x14ac:dyDescent="0.45">
      <c r="A30" s="6" t="s">
        <v>154</v>
      </c>
      <c r="B30" s="6">
        <v>30</v>
      </c>
      <c r="C30" s="6">
        <v>0</v>
      </c>
      <c r="D30" s="6">
        <v>1</v>
      </c>
      <c r="E30" s="6">
        <v>1</v>
      </c>
      <c r="F30" s="6">
        <v>32</v>
      </c>
      <c r="G30" s="6">
        <v>5</v>
      </c>
      <c r="H30" s="6">
        <v>2</v>
      </c>
      <c r="I30" s="6"/>
      <c r="J30" s="6">
        <v>4</v>
      </c>
      <c r="K30" s="6">
        <v>3</v>
      </c>
      <c r="L30" s="6"/>
      <c r="M30" s="6">
        <v>2</v>
      </c>
      <c r="N30" s="6">
        <v>1</v>
      </c>
      <c r="O30" s="6">
        <v>4</v>
      </c>
      <c r="P30" s="6">
        <v>4</v>
      </c>
      <c r="Q30" s="6">
        <v>3</v>
      </c>
      <c r="R30" s="6">
        <v>4</v>
      </c>
      <c r="S30" s="6">
        <v>4</v>
      </c>
      <c r="T30" s="6">
        <v>5</v>
      </c>
      <c r="U30" s="6">
        <v>5</v>
      </c>
      <c r="V30" s="6">
        <v>5</v>
      </c>
      <c r="W30" s="6">
        <v>4</v>
      </c>
      <c r="X30" s="6">
        <v>4</v>
      </c>
      <c r="Y30" s="6">
        <v>3</v>
      </c>
      <c r="Z30" s="6">
        <v>4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8">
        <f t="shared" si="0"/>
        <v>4.25</v>
      </c>
      <c r="AN30" s="8">
        <f t="shared" si="1"/>
        <v>4</v>
      </c>
      <c r="AO30" s="8">
        <f t="shared" si="2"/>
        <v>4</v>
      </c>
      <c r="AP30" s="8">
        <f t="shared" si="3"/>
        <v>3.5</v>
      </c>
      <c r="AQ30" s="8">
        <f t="shared" si="4"/>
        <v>4.5</v>
      </c>
      <c r="AR30" s="8">
        <f t="shared" si="5"/>
        <v>5</v>
      </c>
      <c r="AS30" s="8">
        <f t="shared" si="6"/>
        <v>3.75</v>
      </c>
      <c r="AT30" s="8" t="str">
        <f t="shared" si="7"/>
        <v/>
      </c>
      <c r="AU30" s="8" t="str">
        <f t="shared" si="8"/>
        <v/>
      </c>
      <c r="AV30" s="8" t="str">
        <f t="shared" si="9"/>
        <v/>
      </c>
      <c r="AW30" s="8" t="str">
        <f t="shared" si="10"/>
        <v/>
      </c>
      <c r="AX30" s="8" t="str">
        <f t="shared" si="11"/>
        <v/>
      </c>
      <c r="AY30" s="8" t="str">
        <f t="shared" si="12"/>
        <v/>
      </c>
      <c r="AZ30" s="9" t="str">
        <f t="shared" si="13"/>
        <v/>
      </c>
      <c r="BA30" s="6">
        <v>1</v>
      </c>
      <c r="BB30" s="6"/>
    </row>
    <row r="31" spans="1:54" x14ac:dyDescent="0.45">
      <c r="A31" s="6" t="s">
        <v>155</v>
      </c>
      <c r="B31" s="6">
        <v>31</v>
      </c>
      <c r="C31" s="6">
        <v>0</v>
      </c>
      <c r="D31" s="6">
        <v>2</v>
      </c>
      <c r="E31" s="6">
        <v>2</v>
      </c>
      <c r="F31" s="6">
        <v>24</v>
      </c>
      <c r="G31" s="6">
        <v>1</v>
      </c>
      <c r="H31" s="6"/>
      <c r="I31" s="6"/>
      <c r="J31" s="6">
        <v>2</v>
      </c>
      <c r="K31" s="6">
        <v>2</v>
      </c>
      <c r="L31" s="6"/>
      <c r="M31" s="6">
        <v>2</v>
      </c>
      <c r="N31" s="6">
        <v>2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4</v>
      </c>
      <c r="W31" s="6">
        <v>4</v>
      </c>
      <c r="X31" s="6">
        <v>4</v>
      </c>
      <c r="Y31" s="6">
        <v>4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8">
        <f t="shared" si="0"/>
        <v>4</v>
      </c>
      <c r="AN31" s="8">
        <f t="shared" si="1"/>
        <v>4</v>
      </c>
      <c r="AO31" s="8">
        <f t="shared" si="2"/>
        <v>4</v>
      </c>
      <c r="AP31" s="8">
        <f t="shared" si="3"/>
        <v>4</v>
      </c>
      <c r="AQ31" s="8">
        <f t="shared" si="4"/>
        <v>4</v>
      </c>
      <c r="AR31" s="8">
        <f t="shared" si="5"/>
        <v>4</v>
      </c>
      <c r="AS31" s="8">
        <f t="shared" si="6"/>
        <v>4</v>
      </c>
      <c r="AT31" s="8" t="str">
        <f t="shared" si="7"/>
        <v/>
      </c>
      <c r="AU31" s="8" t="str">
        <f t="shared" si="8"/>
        <v/>
      </c>
      <c r="AV31" s="8" t="str">
        <f t="shared" si="9"/>
        <v/>
      </c>
      <c r="AW31" s="8" t="str">
        <f t="shared" si="10"/>
        <v/>
      </c>
      <c r="AX31" s="8" t="str">
        <f t="shared" si="11"/>
        <v/>
      </c>
      <c r="AY31" s="8" t="str">
        <f t="shared" si="12"/>
        <v/>
      </c>
      <c r="AZ31" s="9" t="str">
        <f t="shared" si="13"/>
        <v/>
      </c>
      <c r="BA31" s="6">
        <v>1</v>
      </c>
      <c r="BB31" s="6"/>
    </row>
    <row r="32" spans="1:54" x14ac:dyDescent="0.45">
      <c r="A32" s="6" t="s">
        <v>158</v>
      </c>
      <c r="B32" s="6">
        <v>32</v>
      </c>
      <c r="C32" s="6">
        <v>1</v>
      </c>
      <c r="D32" s="6">
        <v>2</v>
      </c>
      <c r="E32" s="6">
        <v>1</v>
      </c>
      <c r="F32" s="6">
        <v>30</v>
      </c>
      <c r="G32" s="6">
        <v>4</v>
      </c>
      <c r="H32" s="6">
        <v>1</v>
      </c>
      <c r="I32" s="6"/>
      <c r="J32" s="6">
        <v>3</v>
      </c>
      <c r="K32" s="6">
        <v>2</v>
      </c>
      <c r="L32" s="6"/>
      <c r="M32" s="6">
        <v>2</v>
      </c>
      <c r="N32" s="6">
        <v>3</v>
      </c>
      <c r="O32" s="6">
        <v>4</v>
      </c>
      <c r="P32" s="6">
        <v>4</v>
      </c>
      <c r="Q32" s="6">
        <v>4</v>
      </c>
      <c r="R32" s="6">
        <v>4</v>
      </c>
      <c r="S32" s="6">
        <v>4</v>
      </c>
      <c r="T32" s="6">
        <v>4</v>
      </c>
      <c r="U32" s="6">
        <v>4</v>
      </c>
      <c r="V32" s="6">
        <v>4</v>
      </c>
      <c r="W32" s="6">
        <v>2</v>
      </c>
      <c r="X32" s="6">
        <v>2</v>
      </c>
      <c r="Y32" s="6">
        <v>2</v>
      </c>
      <c r="Z32" s="6">
        <v>2</v>
      </c>
      <c r="AA32" s="6">
        <v>4</v>
      </c>
      <c r="AB32" s="6">
        <v>4</v>
      </c>
      <c r="AC32" s="6">
        <v>4</v>
      </c>
      <c r="AD32" s="6">
        <v>4</v>
      </c>
      <c r="AE32" s="6">
        <v>2</v>
      </c>
      <c r="AF32" s="6">
        <v>2</v>
      </c>
      <c r="AG32" s="6">
        <v>4</v>
      </c>
      <c r="AH32" s="6">
        <v>3</v>
      </c>
      <c r="AI32" s="6">
        <v>1</v>
      </c>
      <c r="AJ32" s="6">
        <v>2</v>
      </c>
      <c r="AK32" s="6">
        <v>5</v>
      </c>
      <c r="AL32" s="6">
        <v>3</v>
      </c>
      <c r="AM32" s="8">
        <f t="shared" si="0"/>
        <v>4</v>
      </c>
      <c r="AN32" s="8">
        <f t="shared" si="1"/>
        <v>4</v>
      </c>
      <c r="AO32" s="8">
        <f t="shared" si="2"/>
        <v>4</v>
      </c>
      <c r="AP32" s="8">
        <f t="shared" si="3"/>
        <v>4</v>
      </c>
      <c r="AQ32" s="8">
        <f t="shared" si="4"/>
        <v>4</v>
      </c>
      <c r="AR32" s="8">
        <f t="shared" si="5"/>
        <v>4</v>
      </c>
      <c r="AS32" s="8">
        <f t="shared" si="6"/>
        <v>2</v>
      </c>
      <c r="AT32" s="8">
        <f t="shared" si="7"/>
        <v>4</v>
      </c>
      <c r="AU32" s="8">
        <f t="shared" si="8"/>
        <v>4</v>
      </c>
      <c r="AV32" s="8">
        <f t="shared" si="9"/>
        <v>2</v>
      </c>
      <c r="AW32" s="8">
        <f t="shared" si="10"/>
        <v>3.5</v>
      </c>
      <c r="AX32" s="8">
        <f t="shared" si="11"/>
        <v>3.375</v>
      </c>
      <c r="AY32" s="8">
        <f t="shared" si="12"/>
        <v>2.75</v>
      </c>
      <c r="AZ32" s="9">
        <f t="shared" si="13"/>
        <v>0</v>
      </c>
      <c r="BA32" s="6">
        <v>1</v>
      </c>
      <c r="BB32" s="6"/>
    </row>
    <row r="33" spans="1:54" x14ac:dyDescent="0.45">
      <c r="A33" s="6" t="s">
        <v>159</v>
      </c>
      <c r="B33" s="6">
        <v>33</v>
      </c>
      <c r="C33" s="6">
        <v>0</v>
      </c>
      <c r="D33" s="6">
        <v>2</v>
      </c>
      <c r="E33" s="6">
        <v>1</v>
      </c>
      <c r="F33" s="6">
        <v>52</v>
      </c>
      <c r="G33" s="6">
        <v>28</v>
      </c>
      <c r="H33" s="6">
        <v>1</v>
      </c>
      <c r="I33" s="6"/>
      <c r="J33" s="6">
        <v>4</v>
      </c>
      <c r="K33" s="6">
        <v>3</v>
      </c>
      <c r="L33" s="6"/>
      <c r="M33" s="6">
        <v>4</v>
      </c>
      <c r="N33" s="6">
        <v>3</v>
      </c>
      <c r="O33" s="6">
        <v>3</v>
      </c>
      <c r="P33" s="6">
        <v>3</v>
      </c>
      <c r="Q33" s="6">
        <v>3</v>
      </c>
      <c r="R33" s="6">
        <v>3</v>
      </c>
      <c r="S33" s="6">
        <v>3</v>
      </c>
      <c r="T33" s="6">
        <v>3</v>
      </c>
      <c r="U33" s="6">
        <v>4</v>
      </c>
      <c r="V33" s="6">
        <v>3</v>
      </c>
      <c r="W33" s="6">
        <v>5</v>
      </c>
      <c r="X33" s="6">
        <v>4</v>
      </c>
      <c r="Y33" s="6">
        <v>5</v>
      </c>
      <c r="Z33" s="6">
        <v>5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8">
        <f t="shared" si="0"/>
        <v>3.125</v>
      </c>
      <c r="AN33" s="8">
        <f t="shared" si="1"/>
        <v>3</v>
      </c>
      <c r="AO33" s="8">
        <f t="shared" si="2"/>
        <v>3</v>
      </c>
      <c r="AP33" s="8">
        <f t="shared" si="3"/>
        <v>3</v>
      </c>
      <c r="AQ33" s="8">
        <f t="shared" si="4"/>
        <v>3</v>
      </c>
      <c r="AR33" s="8">
        <f t="shared" si="5"/>
        <v>3.5</v>
      </c>
      <c r="AS33" s="8">
        <f t="shared" si="6"/>
        <v>4.75</v>
      </c>
      <c r="AT33" s="8" t="str">
        <f t="shared" si="7"/>
        <v/>
      </c>
      <c r="AU33" s="8" t="str">
        <f t="shared" si="8"/>
        <v/>
      </c>
      <c r="AV33" s="8" t="str">
        <f t="shared" si="9"/>
        <v/>
      </c>
      <c r="AW33" s="8" t="str">
        <f t="shared" si="10"/>
        <v/>
      </c>
      <c r="AX33" s="8" t="str">
        <f t="shared" si="11"/>
        <v/>
      </c>
      <c r="AY33" s="8" t="str">
        <f t="shared" si="12"/>
        <v/>
      </c>
      <c r="AZ33" s="9" t="str">
        <f t="shared" si="13"/>
        <v/>
      </c>
      <c r="BA33" s="6">
        <v>1</v>
      </c>
      <c r="BB33" s="6"/>
    </row>
    <row r="34" spans="1:54" x14ac:dyDescent="0.45">
      <c r="A34" s="6" t="s">
        <v>160</v>
      </c>
      <c r="B34" s="6">
        <v>34</v>
      </c>
      <c r="C34" s="6">
        <v>1</v>
      </c>
      <c r="D34" s="6">
        <v>1</v>
      </c>
      <c r="E34" s="6">
        <v>1</v>
      </c>
      <c r="F34" s="6">
        <v>51</v>
      </c>
      <c r="G34" s="6">
        <v>30</v>
      </c>
      <c r="H34" s="6">
        <v>3</v>
      </c>
      <c r="I34" s="6"/>
      <c r="J34" s="6">
        <v>3</v>
      </c>
      <c r="K34" s="6">
        <v>5</v>
      </c>
      <c r="L34" s="6" t="s">
        <v>161</v>
      </c>
      <c r="M34" s="6">
        <v>1</v>
      </c>
      <c r="N34" s="6">
        <v>1</v>
      </c>
      <c r="O34" s="6">
        <v>4</v>
      </c>
      <c r="P34" s="6">
        <v>4</v>
      </c>
      <c r="Q34" s="6">
        <v>4</v>
      </c>
      <c r="R34" s="6">
        <v>4</v>
      </c>
      <c r="S34" s="6">
        <v>4</v>
      </c>
      <c r="T34" s="6">
        <v>4</v>
      </c>
      <c r="U34" s="6">
        <v>4</v>
      </c>
      <c r="V34" s="6">
        <v>4</v>
      </c>
      <c r="W34" s="6">
        <v>4</v>
      </c>
      <c r="X34" s="6">
        <v>3</v>
      </c>
      <c r="Y34" s="6">
        <v>4</v>
      </c>
      <c r="Z34" s="6">
        <v>3</v>
      </c>
      <c r="AA34" s="6">
        <v>4</v>
      </c>
      <c r="AB34" s="6">
        <v>4</v>
      </c>
      <c r="AC34" s="6">
        <v>4</v>
      </c>
      <c r="AD34" s="6">
        <v>4</v>
      </c>
      <c r="AE34" s="6">
        <v>3</v>
      </c>
      <c r="AF34" s="6">
        <v>3</v>
      </c>
      <c r="AG34" s="6">
        <v>3</v>
      </c>
      <c r="AH34" s="6">
        <v>3</v>
      </c>
      <c r="AI34" s="6">
        <v>3</v>
      </c>
      <c r="AJ34" s="6">
        <v>3</v>
      </c>
      <c r="AK34" s="6">
        <v>4</v>
      </c>
      <c r="AL34" s="6">
        <v>3</v>
      </c>
      <c r="AM34" s="8">
        <f t="shared" ref="AM34:AM65" si="14">IF(COUNT(O34:V34)&lt;8,"",AVERAGE(O34:V34))</f>
        <v>4</v>
      </c>
      <c r="AN34" s="8">
        <f t="shared" ref="AN34:AN65" si="15">IF(COUNT(O34:O34)&lt;1,"",AVERAGE(O34:O34))</f>
        <v>4</v>
      </c>
      <c r="AO34" s="8">
        <f t="shared" ref="AO34:AO65" si="16">IF(COUNT(P34:P34)&lt;1,"",AVERAGE(P34:P34))</f>
        <v>4</v>
      </c>
      <c r="AP34" s="8">
        <f t="shared" ref="AP34:AP65" si="17">IF(COUNT(Q34:R34)&lt;2,"",AVERAGE(Q34:R34))</f>
        <v>4</v>
      </c>
      <c r="AQ34" s="8">
        <f t="shared" ref="AQ34:AQ65" si="18">IF(COUNT(S34:T34)&lt;2,"",AVERAGE(S34:T34))</f>
        <v>4</v>
      </c>
      <c r="AR34" s="8">
        <f t="shared" ref="AR34:AR65" si="19">IF(COUNT(U34:V34)&lt;2,"",AVERAGE(U34:V34))</f>
        <v>4</v>
      </c>
      <c r="AS34" s="8">
        <f t="shared" ref="AS34:AS65" si="20">IF(COUNT(W34:Z34)&lt;4,"",AVERAGE(W34:Z34))</f>
        <v>3.5</v>
      </c>
      <c r="AT34" s="8">
        <f t="shared" ref="AT34:AT65" si="21">IF($C34&lt;&gt;1,"",IF(COUNT(AA34:AB34)&lt;2,"",AVERAGE(AA34:AB34)))</f>
        <v>4</v>
      </c>
      <c r="AU34" s="8">
        <f t="shared" ref="AU34:AU65" si="22">IF($C34&lt;&gt;1,"",IF(COUNT(AC34:AD34)&lt;2,"",AVERAGE(AC34:AD34)))</f>
        <v>4</v>
      </c>
      <c r="AV34" s="8">
        <f t="shared" ref="AV34:AV65" si="23">IF($C34&lt;&gt;1,"",IF(COUNT(AE34:AF34)&lt;2,"",AVERAGE(AE34:AF34)))</f>
        <v>3</v>
      </c>
      <c r="AW34" s="8">
        <f t="shared" ref="AW34:AW65" si="24">IF($C34&lt;&gt;1,"",IF(COUNT(AG34:AH34)&lt;2,"",AVERAGE(AG34:AH34)))</f>
        <v>3</v>
      </c>
      <c r="AX34" s="8">
        <f t="shared" ref="AX34:AX65" si="25">IF($C34&lt;&gt;1,"",IF(COUNT(AA34:AH34)&lt;8,"",AVERAGE(AA34:AH34)))</f>
        <v>3.5</v>
      </c>
      <c r="AY34" s="8">
        <f t="shared" ref="AY34:AY65" si="26">IF($C34&lt;&gt;1,"",IF(COUNT(AI34:AL34)&lt;4,"",AVERAGE(AI34:AL34)))</f>
        <v>3.25</v>
      </c>
      <c r="AZ34" s="9">
        <f t="shared" ref="AZ34:AZ65" si="27">IF($C34&lt;&gt;1,"",IF(OR(K34="",M34=""),"",IF(AND(OR(K34=3,K34=4),M34=3),1,0)))</f>
        <v>0</v>
      </c>
      <c r="BA34" s="6">
        <v>1</v>
      </c>
      <c r="BB34" s="6"/>
    </row>
    <row r="35" spans="1:54" x14ac:dyDescent="0.45">
      <c r="A35" s="6" t="s">
        <v>162</v>
      </c>
      <c r="B35" s="6">
        <v>35</v>
      </c>
      <c r="C35" s="6">
        <v>1</v>
      </c>
      <c r="D35" s="6">
        <v>1</v>
      </c>
      <c r="E35" s="6">
        <v>1</v>
      </c>
      <c r="F35" s="6">
        <v>58</v>
      </c>
      <c r="G35" s="6">
        <v>6</v>
      </c>
      <c r="H35" s="6">
        <v>2</v>
      </c>
      <c r="I35" s="6"/>
      <c r="J35" s="6">
        <v>3</v>
      </c>
      <c r="K35" s="6">
        <v>4</v>
      </c>
      <c r="L35" s="6"/>
      <c r="M35" s="6">
        <v>3</v>
      </c>
      <c r="N35" s="6">
        <v>1</v>
      </c>
      <c r="O35" s="6">
        <v>4</v>
      </c>
      <c r="P35" s="6">
        <v>4</v>
      </c>
      <c r="Q35" s="6">
        <v>4</v>
      </c>
      <c r="R35" s="6">
        <v>4</v>
      </c>
      <c r="S35" s="6">
        <v>4</v>
      </c>
      <c r="T35" s="6">
        <v>4</v>
      </c>
      <c r="U35" s="6">
        <v>4</v>
      </c>
      <c r="V35" s="6">
        <v>4</v>
      </c>
      <c r="W35" s="6">
        <v>2</v>
      </c>
      <c r="X35" s="6">
        <v>2</v>
      </c>
      <c r="Y35" s="6">
        <v>2</v>
      </c>
      <c r="Z35" s="6">
        <v>2</v>
      </c>
      <c r="AA35" s="6">
        <v>3</v>
      </c>
      <c r="AB35" s="6">
        <v>4</v>
      </c>
      <c r="AC35" s="6">
        <v>4</v>
      </c>
      <c r="AD35" s="6">
        <v>3</v>
      </c>
      <c r="AE35" s="6">
        <v>3</v>
      </c>
      <c r="AF35" s="6">
        <v>3</v>
      </c>
      <c r="AG35" s="6">
        <v>4</v>
      </c>
      <c r="AH35" s="6">
        <v>3</v>
      </c>
      <c r="AI35" s="6">
        <v>4</v>
      </c>
      <c r="AJ35" s="6">
        <v>4</v>
      </c>
      <c r="AK35" s="6">
        <v>4</v>
      </c>
      <c r="AL35" s="6">
        <v>4</v>
      </c>
      <c r="AM35" s="8">
        <f t="shared" si="14"/>
        <v>4</v>
      </c>
      <c r="AN35" s="8">
        <f t="shared" si="15"/>
        <v>4</v>
      </c>
      <c r="AO35" s="8">
        <f t="shared" si="16"/>
        <v>4</v>
      </c>
      <c r="AP35" s="8">
        <f t="shared" si="17"/>
        <v>4</v>
      </c>
      <c r="AQ35" s="8">
        <f t="shared" si="18"/>
        <v>4</v>
      </c>
      <c r="AR35" s="8">
        <f t="shared" si="19"/>
        <v>4</v>
      </c>
      <c r="AS35" s="8">
        <f t="shared" si="20"/>
        <v>2</v>
      </c>
      <c r="AT35" s="8">
        <f t="shared" si="21"/>
        <v>3.5</v>
      </c>
      <c r="AU35" s="8">
        <f t="shared" si="22"/>
        <v>3.5</v>
      </c>
      <c r="AV35" s="8">
        <f t="shared" si="23"/>
        <v>3</v>
      </c>
      <c r="AW35" s="8">
        <f t="shared" si="24"/>
        <v>3.5</v>
      </c>
      <c r="AX35" s="8">
        <f t="shared" si="25"/>
        <v>3.375</v>
      </c>
      <c r="AY35" s="8">
        <f t="shared" si="26"/>
        <v>4</v>
      </c>
      <c r="AZ35" s="9">
        <f t="shared" si="27"/>
        <v>1</v>
      </c>
      <c r="BA35" s="6">
        <v>1</v>
      </c>
      <c r="BB35" s="6"/>
    </row>
    <row r="36" spans="1:54" x14ac:dyDescent="0.45">
      <c r="A36" s="6" t="s">
        <v>163</v>
      </c>
      <c r="B36" s="6">
        <v>36</v>
      </c>
      <c r="C36" s="6">
        <v>1</v>
      </c>
      <c r="D36" s="6">
        <v>1</v>
      </c>
      <c r="E36" s="6">
        <v>1</v>
      </c>
      <c r="F36" s="6">
        <v>46</v>
      </c>
      <c r="G36" s="6">
        <v>20</v>
      </c>
      <c r="H36" s="6">
        <v>3</v>
      </c>
      <c r="I36" s="6"/>
      <c r="J36" s="6">
        <v>4</v>
      </c>
      <c r="K36" s="6">
        <v>2</v>
      </c>
      <c r="L36" s="6"/>
      <c r="M36" s="6">
        <v>2</v>
      </c>
      <c r="N36" s="6">
        <v>2</v>
      </c>
      <c r="O36" s="6">
        <v>4</v>
      </c>
      <c r="P36" s="6">
        <v>4</v>
      </c>
      <c r="Q36" s="6">
        <v>3</v>
      </c>
      <c r="R36" s="6">
        <v>3</v>
      </c>
      <c r="S36" s="6">
        <v>3</v>
      </c>
      <c r="T36" s="6">
        <v>4</v>
      </c>
      <c r="U36" s="6">
        <v>4</v>
      </c>
      <c r="V36" s="6">
        <v>4</v>
      </c>
      <c r="W36" s="6">
        <v>4</v>
      </c>
      <c r="X36" s="6">
        <v>4</v>
      </c>
      <c r="Y36" s="6">
        <v>4</v>
      </c>
      <c r="Z36" s="6">
        <v>4</v>
      </c>
      <c r="AA36" s="6">
        <v>3</v>
      </c>
      <c r="AB36" s="6">
        <v>3</v>
      </c>
      <c r="AC36" s="6">
        <v>4</v>
      </c>
      <c r="AD36" s="6">
        <v>3</v>
      </c>
      <c r="AE36" s="6">
        <v>3</v>
      </c>
      <c r="AF36" s="6">
        <v>4</v>
      </c>
      <c r="AG36" s="6">
        <v>5</v>
      </c>
      <c r="AH36" s="6">
        <v>3</v>
      </c>
      <c r="AI36" s="6">
        <v>1</v>
      </c>
      <c r="AJ36" s="6">
        <v>2</v>
      </c>
      <c r="AK36" s="6">
        <v>4</v>
      </c>
      <c r="AL36" s="6">
        <v>5</v>
      </c>
      <c r="AM36" s="8">
        <f t="shared" si="14"/>
        <v>3.625</v>
      </c>
      <c r="AN36" s="8">
        <f t="shared" si="15"/>
        <v>4</v>
      </c>
      <c r="AO36" s="8">
        <f t="shared" si="16"/>
        <v>4</v>
      </c>
      <c r="AP36" s="8">
        <f t="shared" si="17"/>
        <v>3</v>
      </c>
      <c r="AQ36" s="8">
        <f t="shared" si="18"/>
        <v>3.5</v>
      </c>
      <c r="AR36" s="8">
        <f t="shared" si="19"/>
        <v>4</v>
      </c>
      <c r="AS36" s="8">
        <f t="shared" si="20"/>
        <v>4</v>
      </c>
      <c r="AT36" s="8">
        <f t="shared" si="21"/>
        <v>3</v>
      </c>
      <c r="AU36" s="8">
        <f t="shared" si="22"/>
        <v>3.5</v>
      </c>
      <c r="AV36" s="8">
        <f t="shared" si="23"/>
        <v>3.5</v>
      </c>
      <c r="AW36" s="8">
        <f t="shared" si="24"/>
        <v>4</v>
      </c>
      <c r="AX36" s="8">
        <f t="shared" si="25"/>
        <v>3.5</v>
      </c>
      <c r="AY36" s="8">
        <f t="shared" si="26"/>
        <v>3</v>
      </c>
      <c r="AZ36" s="9">
        <f t="shared" si="27"/>
        <v>0</v>
      </c>
      <c r="BA36" s="6">
        <v>1</v>
      </c>
      <c r="BB36" s="6"/>
    </row>
    <row r="37" spans="1:54" x14ac:dyDescent="0.45">
      <c r="A37" s="6" t="s">
        <v>164</v>
      </c>
      <c r="B37" s="6">
        <v>37</v>
      </c>
      <c r="C37" s="6">
        <v>0</v>
      </c>
      <c r="D37" s="6">
        <v>2</v>
      </c>
      <c r="E37" s="6">
        <v>1</v>
      </c>
      <c r="F37" s="6">
        <v>60</v>
      </c>
      <c r="G37" s="6">
        <v>36</v>
      </c>
      <c r="H37" s="6">
        <v>1</v>
      </c>
      <c r="I37" s="6"/>
      <c r="J37" s="6">
        <v>4</v>
      </c>
      <c r="K37" s="6">
        <v>2</v>
      </c>
      <c r="L37" s="6"/>
      <c r="M37" s="6">
        <v>2</v>
      </c>
      <c r="N37" s="6">
        <v>2</v>
      </c>
      <c r="O37" s="6">
        <v>3</v>
      </c>
      <c r="P37" s="6">
        <v>3</v>
      </c>
      <c r="Q37" s="6">
        <v>2</v>
      </c>
      <c r="R37" s="6">
        <v>3</v>
      </c>
      <c r="S37" s="6">
        <v>2</v>
      </c>
      <c r="T37" s="6">
        <v>2</v>
      </c>
      <c r="U37" s="6">
        <v>3</v>
      </c>
      <c r="V37" s="6">
        <v>3</v>
      </c>
      <c r="W37" s="6">
        <v>2</v>
      </c>
      <c r="X37" s="6">
        <v>2</v>
      </c>
      <c r="Y37" s="6">
        <v>3</v>
      </c>
      <c r="Z37" s="6">
        <v>2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8">
        <f t="shared" si="14"/>
        <v>2.625</v>
      </c>
      <c r="AN37" s="8">
        <f t="shared" si="15"/>
        <v>3</v>
      </c>
      <c r="AO37" s="8">
        <f t="shared" si="16"/>
        <v>3</v>
      </c>
      <c r="AP37" s="8">
        <f t="shared" si="17"/>
        <v>2.5</v>
      </c>
      <c r="AQ37" s="8">
        <f t="shared" si="18"/>
        <v>2</v>
      </c>
      <c r="AR37" s="8">
        <f t="shared" si="19"/>
        <v>3</v>
      </c>
      <c r="AS37" s="8">
        <f t="shared" si="20"/>
        <v>2.25</v>
      </c>
      <c r="AT37" s="8" t="str">
        <f t="shared" si="21"/>
        <v/>
      </c>
      <c r="AU37" s="8" t="str">
        <f t="shared" si="22"/>
        <v/>
      </c>
      <c r="AV37" s="8" t="str">
        <f t="shared" si="23"/>
        <v/>
      </c>
      <c r="AW37" s="8" t="str">
        <f t="shared" si="24"/>
        <v/>
      </c>
      <c r="AX37" s="8" t="str">
        <f t="shared" si="25"/>
        <v/>
      </c>
      <c r="AY37" s="8" t="str">
        <f t="shared" si="26"/>
        <v/>
      </c>
      <c r="AZ37" s="9" t="str">
        <f t="shared" si="27"/>
        <v/>
      </c>
      <c r="BA37" s="6">
        <v>1</v>
      </c>
      <c r="BB37" s="6"/>
    </row>
    <row r="38" spans="1:54" x14ac:dyDescent="0.45">
      <c r="A38" s="6" t="s">
        <v>165</v>
      </c>
      <c r="B38" s="6">
        <v>38</v>
      </c>
      <c r="C38" s="6">
        <v>1</v>
      </c>
      <c r="D38" s="6">
        <v>2</v>
      </c>
      <c r="E38" s="6">
        <v>1</v>
      </c>
      <c r="F38" s="6">
        <v>56</v>
      </c>
      <c r="G38" s="6">
        <v>30</v>
      </c>
      <c r="H38" s="6">
        <v>4</v>
      </c>
      <c r="I38" s="6" t="s">
        <v>166</v>
      </c>
      <c r="J38" s="6">
        <v>3</v>
      </c>
      <c r="K38" s="6">
        <v>4</v>
      </c>
      <c r="L38" s="6"/>
      <c r="M38" s="6">
        <v>3</v>
      </c>
      <c r="N38" s="6">
        <v>1</v>
      </c>
      <c r="O38" s="6">
        <v>3</v>
      </c>
      <c r="P38" s="6">
        <v>5</v>
      </c>
      <c r="Q38" s="6">
        <v>3</v>
      </c>
      <c r="R38" s="6">
        <v>5</v>
      </c>
      <c r="S38" s="6">
        <v>4</v>
      </c>
      <c r="T38" s="6">
        <v>3</v>
      </c>
      <c r="U38" s="6">
        <v>5</v>
      </c>
      <c r="V38" s="6">
        <v>5</v>
      </c>
      <c r="W38" s="6">
        <v>2</v>
      </c>
      <c r="X38" s="6">
        <v>2</v>
      </c>
      <c r="Y38" s="6">
        <v>2</v>
      </c>
      <c r="Z38" s="6">
        <v>4</v>
      </c>
      <c r="AA38" s="6">
        <v>4</v>
      </c>
      <c r="AB38" s="6">
        <v>4</v>
      </c>
      <c r="AC38" s="6">
        <v>4</v>
      </c>
      <c r="AD38" s="6">
        <v>4</v>
      </c>
      <c r="AE38" s="6">
        <v>4</v>
      </c>
      <c r="AF38" s="6">
        <v>3</v>
      </c>
      <c r="AG38" s="6">
        <v>5</v>
      </c>
      <c r="AH38" s="6">
        <v>5</v>
      </c>
      <c r="AI38" s="6">
        <v>5</v>
      </c>
      <c r="AJ38" s="6">
        <v>5</v>
      </c>
      <c r="AK38" s="6">
        <v>5</v>
      </c>
      <c r="AL38" s="6">
        <v>5</v>
      </c>
      <c r="AM38" s="8">
        <f t="shared" si="14"/>
        <v>4.125</v>
      </c>
      <c r="AN38" s="8">
        <f t="shared" si="15"/>
        <v>3</v>
      </c>
      <c r="AO38" s="8">
        <f t="shared" si="16"/>
        <v>5</v>
      </c>
      <c r="AP38" s="8">
        <f t="shared" si="17"/>
        <v>4</v>
      </c>
      <c r="AQ38" s="8">
        <f t="shared" si="18"/>
        <v>3.5</v>
      </c>
      <c r="AR38" s="8">
        <f t="shared" si="19"/>
        <v>5</v>
      </c>
      <c r="AS38" s="8">
        <f t="shared" si="20"/>
        <v>2.5</v>
      </c>
      <c r="AT38" s="8">
        <f t="shared" si="21"/>
        <v>4</v>
      </c>
      <c r="AU38" s="8">
        <f t="shared" si="22"/>
        <v>4</v>
      </c>
      <c r="AV38" s="8">
        <f t="shared" si="23"/>
        <v>3.5</v>
      </c>
      <c r="AW38" s="8">
        <f t="shared" si="24"/>
        <v>5</v>
      </c>
      <c r="AX38" s="8">
        <f t="shared" si="25"/>
        <v>4.125</v>
      </c>
      <c r="AY38" s="8">
        <f t="shared" si="26"/>
        <v>5</v>
      </c>
      <c r="AZ38" s="9">
        <f t="shared" si="27"/>
        <v>1</v>
      </c>
      <c r="BA38" s="6">
        <v>1</v>
      </c>
      <c r="BB38" s="6"/>
    </row>
    <row r="39" spans="1:54" x14ac:dyDescent="0.45">
      <c r="A39" s="6" t="s">
        <v>167</v>
      </c>
      <c r="B39" s="6">
        <v>39</v>
      </c>
      <c r="C39" s="6">
        <v>0</v>
      </c>
      <c r="D39" s="6">
        <v>1</v>
      </c>
      <c r="E39" s="6">
        <v>1</v>
      </c>
      <c r="F39" s="6">
        <v>57</v>
      </c>
      <c r="G39" s="6">
        <v>32</v>
      </c>
      <c r="H39" s="6">
        <v>3</v>
      </c>
      <c r="I39" s="6"/>
      <c r="J39" s="6">
        <v>1</v>
      </c>
      <c r="K39" s="6">
        <v>5</v>
      </c>
      <c r="L39" s="6" t="s">
        <v>168</v>
      </c>
      <c r="M39" s="6">
        <v>2</v>
      </c>
      <c r="N39" s="6">
        <v>1</v>
      </c>
      <c r="O39" s="6">
        <v>5</v>
      </c>
      <c r="P39" s="6">
        <v>5</v>
      </c>
      <c r="Q39" s="6">
        <v>5</v>
      </c>
      <c r="R39" s="6">
        <v>5</v>
      </c>
      <c r="S39" s="6">
        <v>5</v>
      </c>
      <c r="T39" s="6">
        <v>5</v>
      </c>
      <c r="U39" s="6">
        <v>5</v>
      </c>
      <c r="V39" s="6">
        <v>5</v>
      </c>
      <c r="W39" s="6">
        <v>1</v>
      </c>
      <c r="X39" s="6">
        <v>1</v>
      </c>
      <c r="Y39" s="6">
        <v>1</v>
      </c>
      <c r="Z39" s="6">
        <v>1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8">
        <f t="shared" si="14"/>
        <v>5</v>
      </c>
      <c r="AN39" s="8">
        <f t="shared" si="15"/>
        <v>5</v>
      </c>
      <c r="AO39" s="8">
        <f t="shared" si="16"/>
        <v>5</v>
      </c>
      <c r="AP39" s="8">
        <f t="shared" si="17"/>
        <v>5</v>
      </c>
      <c r="AQ39" s="8">
        <f t="shared" si="18"/>
        <v>5</v>
      </c>
      <c r="AR39" s="8">
        <f t="shared" si="19"/>
        <v>5</v>
      </c>
      <c r="AS39" s="8">
        <f t="shared" si="20"/>
        <v>1</v>
      </c>
      <c r="AT39" s="8" t="str">
        <f t="shared" si="21"/>
        <v/>
      </c>
      <c r="AU39" s="8" t="str">
        <f t="shared" si="22"/>
        <v/>
      </c>
      <c r="AV39" s="8" t="str">
        <f t="shared" si="23"/>
        <v/>
      </c>
      <c r="AW39" s="8" t="str">
        <f t="shared" si="24"/>
        <v/>
      </c>
      <c r="AX39" s="8" t="str">
        <f t="shared" si="25"/>
        <v/>
      </c>
      <c r="AY39" s="8" t="str">
        <f t="shared" si="26"/>
        <v/>
      </c>
      <c r="AZ39" s="9" t="str">
        <f t="shared" si="27"/>
        <v/>
      </c>
      <c r="BA39" s="6">
        <v>1</v>
      </c>
      <c r="BB39" s="6"/>
    </row>
    <row r="40" spans="1:54" x14ac:dyDescent="0.45">
      <c r="A40" s="6" t="s">
        <v>169</v>
      </c>
      <c r="B40" s="6">
        <v>40</v>
      </c>
      <c r="C40" s="6">
        <v>0</v>
      </c>
      <c r="D40" s="6">
        <v>2</v>
      </c>
      <c r="E40" s="6">
        <v>1</v>
      </c>
      <c r="F40" s="6">
        <v>55</v>
      </c>
      <c r="G40" s="6">
        <v>25</v>
      </c>
      <c r="H40" s="6">
        <v>4</v>
      </c>
      <c r="I40" s="6" t="s">
        <v>170</v>
      </c>
      <c r="J40" s="6">
        <v>1</v>
      </c>
      <c r="K40" s="6">
        <v>1</v>
      </c>
      <c r="L40" s="6"/>
      <c r="M40" s="6">
        <v>2</v>
      </c>
      <c r="N40" s="6">
        <v>4</v>
      </c>
      <c r="O40" s="6">
        <v>3</v>
      </c>
      <c r="P40" s="6">
        <v>4</v>
      </c>
      <c r="Q40" s="6">
        <v>2</v>
      </c>
      <c r="R40" s="6">
        <v>2</v>
      </c>
      <c r="S40" s="6">
        <v>2</v>
      </c>
      <c r="T40" s="6">
        <v>3</v>
      </c>
      <c r="U40" s="6">
        <v>3</v>
      </c>
      <c r="V40" s="6">
        <v>3</v>
      </c>
      <c r="W40" s="6">
        <v>4</v>
      </c>
      <c r="X40" s="6">
        <v>4</v>
      </c>
      <c r="Y40" s="6">
        <v>4</v>
      </c>
      <c r="Z40" s="6">
        <v>5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8">
        <f t="shared" si="14"/>
        <v>2.75</v>
      </c>
      <c r="AN40" s="8">
        <f t="shared" si="15"/>
        <v>3</v>
      </c>
      <c r="AO40" s="8">
        <f t="shared" si="16"/>
        <v>4</v>
      </c>
      <c r="AP40" s="8">
        <f t="shared" si="17"/>
        <v>2</v>
      </c>
      <c r="AQ40" s="8">
        <f t="shared" si="18"/>
        <v>2.5</v>
      </c>
      <c r="AR40" s="8">
        <f t="shared" si="19"/>
        <v>3</v>
      </c>
      <c r="AS40" s="8">
        <f t="shared" si="20"/>
        <v>4.25</v>
      </c>
      <c r="AT40" s="8" t="str">
        <f t="shared" si="21"/>
        <v/>
      </c>
      <c r="AU40" s="8" t="str">
        <f t="shared" si="22"/>
        <v/>
      </c>
      <c r="AV40" s="8" t="str">
        <f t="shared" si="23"/>
        <v/>
      </c>
      <c r="AW40" s="8" t="str">
        <f t="shared" si="24"/>
        <v/>
      </c>
      <c r="AX40" s="8" t="str">
        <f t="shared" si="25"/>
        <v/>
      </c>
      <c r="AY40" s="8" t="str">
        <f t="shared" si="26"/>
        <v/>
      </c>
      <c r="AZ40" s="9" t="str">
        <f t="shared" si="27"/>
        <v/>
      </c>
      <c r="BA40" s="6">
        <v>1</v>
      </c>
      <c r="BB40" s="6"/>
    </row>
    <row r="41" spans="1:54" x14ac:dyDescent="0.45">
      <c r="A41" s="6" t="s">
        <v>172</v>
      </c>
      <c r="B41" s="6">
        <v>41</v>
      </c>
      <c r="C41" s="6">
        <v>1</v>
      </c>
      <c r="D41" s="6">
        <v>1</v>
      </c>
      <c r="E41" s="6">
        <v>1</v>
      </c>
      <c r="F41" s="6">
        <v>59</v>
      </c>
      <c r="G41" s="6">
        <v>32</v>
      </c>
      <c r="H41" s="6">
        <v>3</v>
      </c>
      <c r="I41" s="6"/>
      <c r="J41" s="6">
        <v>3</v>
      </c>
      <c r="K41" s="6">
        <v>2</v>
      </c>
      <c r="L41" s="6"/>
      <c r="M41" s="6">
        <v>2</v>
      </c>
      <c r="N41" s="6">
        <v>1</v>
      </c>
      <c r="O41" s="6">
        <v>4</v>
      </c>
      <c r="P41" s="6">
        <v>5</v>
      </c>
      <c r="Q41" s="6">
        <v>4</v>
      </c>
      <c r="R41" s="6">
        <v>4</v>
      </c>
      <c r="S41" s="6">
        <v>4</v>
      </c>
      <c r="T41" s="6">
        <v>5</v>
      </c>
      <c r="U41" s="6">
        <v>5</v>
      </c>
      <c r="V41" s="6">
        <v>5</v>
      </c>
      <c r="W41" s="6">
        <v>4</v>
      </c>
      <c r="X41" s="6">
        <v>4</v>
      </c>
      <c r="Y41" s="6">
        <v>4</v>
      </c>
      <c r="Z41" s="6">
        <v>4</v>
      </c>
      <c r="AA41" s="6">
        <v>3</v>
      </c>
      <c r="AB41" s="6">
        <v>4</v>
      </c>
      <c r="AC41" s="6">
        <v>4</v>
      </c>
      <c r="AD41" s="6">
        <v>2</v>
      </c>
      <c r="AE41" s="6">
        <v>3</v>
      </c>
      <c r="AF41" s="6">
        <v>3</v>
      </c>
      <c r="AG41" s="6">
        <v>4</v>
      </c>
      <c r="AH41" s="6">
        <v>3</v>
      </c>
      <c r="AI41" s="6">
        <v>2</v>
      </c>
      <c r="AJ41" s="6">
        <v>2</v>
      </c>
      <c r="AK41" s="6">
        <v>3</v>
      </c>
      <c r="AL41" s="6">
        <v>2</v>
      </c>
      <c r="AM41" s="8">
        <f t="shared" si="14"/>
        <v>4.5</v>
      </c>
      <c r="AN41" s="8">
        <f t="shared" si="15"/>
        <v>4</v>
      </c>
      <c r="AO41" s="8">
        <f t="shared" si="16"/>
        <v>5</v>
      </c>
      <c r="AP41" s="8">
        <f t="shared" si="17"/>
        <v>4</v>
      </c>
      <c r="AQ41" s="8">
        <f t="shared" si="18"/>
        <v>4.5</v>
      </c>
      <c r="AR41" s="8">
        <f t="shared" si="19"/>
        <v>5</v>
      </c>
      <c r="AS41" s="8">
        <f t="shared" si="20"/>
        <v>4</v>
      </c>
      <c r="AT41" s="8">
        <f t="shared" si="21"/>
        <v>3.5</v>
      </c>
      <c r="AU41" s="8">
        <f t="shared" si="22"/>
        <v>3</v>
      </c>
      <c r="AV41" s="8">
        <f t="shared" si="23"/>
        <v>3</v>
      </c>
      <c r="AW41" s="8">
        <f t="shared" si="24"/>
        <v>3.5</v>
      </c>
      <c r="AX41" s="8">
        <f t="shared" si="25"/>
        <v>3.25</v>
      </c>
      <c r="AY41" s="8">
        <f t="shared" si="26"/>
        <v>2.25</v>
      </c>
      <c r="AZ41" s="9">
        <f t="shared" si="27"/>
        <v>0</v>
      </c>
      <c r="BA41" s="6">
        <v>1</v>
      </c>
      <c r="BB41" s="6"/>
    </row>
    <row r="42" spans="1:54" x14ac:dyDescent="0.45">
      <c r="A42" s="6" t="s">
        <v>173</v>
      </c>
      <c r="B42" s="6">
        <v>42</v>
      </c>
      <c r="C42" s="6">
        <v>0</v>
      </c>
      <c r="D42" s="6">
        <v>2</v>
      </c>
      <c r="E42" s="6">
        <v>1</v>
      </c>
      <c r="F42" s="6">
        <v>48</v>
      </c>
      <c r="G42" s="6">
        <v>14</v>
      </c>
      <c r="H42" s="6">
        <v>1</v>
      </c>
      <c r="I42" s="6"/>
      <c r="J42" s="6">
        <v>3</v>
      </c>
      <c r="K42" s="6">
        <v>2</v>
      </c>
      <c r="L42" s="6"/>
      <c r="M42" s="6">
        <v>3</v>
      </c>
      <c r="N42" s="6">
        <v>2</v>
      </c>
      <c r="O42" s="6">
        <v>4</v>
      </c>
      <c r="P42" s="6">
        <v>5</v>
      </c>
      <c r="Q42" s="6">
        <v>5</v>
      </c>
      <c r="R42" s="6">
        <v>5</v>
      </c>
      <c r="S42" s="6">
        <v>5</v>
      </c>
      <c r="T42" s="6">
        <v>5</v>
      </c>
      <c r="U42" s="6">
        <v>5</v>
      </c>
      <c r="V42" s="6">
        <v>5</v>
      </c>
      <c r="W42" s="6">
        <v>2</v>
      </c>
      <c r="X42" s="6">
        <v>3</v>
      </c>
      <c r="Y42" s="6">
        <v>3</v>
      </c>
      <c r="Z42" s="6">
        <v>3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8">
        <f t="shared" si="14"/>
        <v>4.875</v>
      </c>
      <c r="AN42" s="8">
        <f t="shared" si="15"/>
        <v>4</v>
      </c>
      <c r="AO42" s="8">
        <f t="shared" si="16"/>
        <v>5</v>
      </c>
      <c r="AP42" s="8">
        <f t="shared" si="17"/>
        <v>5</v>
      </c>
      <c r="AQ42" s="8">
        <f t="shared" si="18"/>
        <v>5</v>
      </c>
      <c r="AR42" s="8">
        <f t="shared" si="19"/>
        <v>5</v>
      </c>
      <c r="AS42" s="8">
        <f t="shared" si="20"/>
        <v>2.75</v>
      </c>
      <c r="AT42" s="8" t="str">
        <f t="shared" si="21"/>
        <v/>
      </c>
      <c r="AU42" s="8" t="str">
        <f t="shared" si="22"/>
        <v/>
      </c>
      <c r="AV42" s="8" t="str">
        <f t="shared" si="23"/>
        <v/>
      </c>
      <c r="AW42" s="8" t="str">
        <f t="shared" si="24"/>
        <v/>
      </c>
      <c r="AX42" s="8" t="str">
        <f t="shared" si="25"/>
        <v/>
      </c>
      <c r="AY42" s="8" t="str">
        <f t="shared" si="26"/>
        <v/>
      </c>
      <c r="AZ42" s="9" t="str">
        <f t="shared" si="27"/>
        <v/>
      </c>
      <c r="BA42" s="6">
        <v>1</v>
      </c>
      <c r="BB42" s="6"/>
    </row>
    <row r="43" spans="1:54" x14ac:dyDescent="0.45">
      <c r="A43" s="6" t="s">
        <v>174</v>
      </c>
      <c r="B43" s="6">
        <v>43</v>
      </c>
      <c r="C43" s="6">
        <v>0</v>
      </c>
      <c r="D43" s="6">
        <v>1</v>
      </c>
      <c r="E43" s="6">
        <v>1</v>
      </c>
      <c r="F43" s="6">
        <v>48</v>
      </c>
      <c r="G43" s="6">
        <v>20</v>
      </c>
      <c r="H43" s="6">
        <v>3</v>
      </c>
      <c r="I43" s="6"/>
      <c r="J43" s="6">
        <v>2</v>
      </c>
      <c r="K43" s="6">
        <v>2</v>
      </c>
      <c r="L43" s="6"/>
      <c r="M43" s="6">
        <v>2</v>
      </c>
      <c r="N43" s="6">
        <v>2</v>
      </c>
      <c r="O43" s="6">
        <v>4</v>
      </c>
      <c r="P43" s="6">
        <v>5</v>
      </c>
      <c r="Q43" s="6">
        <v>4</v>
      </c>
      <c r="R43" s="6">
        <v>4</v>
      </c>
      <c r="S43" s="6">
        <v>4</v>
      </c>
      <c r="T43" s="6">
        <v>4</v>
      </c>
      <c r="U43" s="6">
        <v>4</v>
      </c>
      <c r="V43" s="6">
        <v>4</v>
      </c>
      <c r="W43" s="6">
        <v>4</v>
      </c>
      <c r="X43" s="6">
        <v>4</v>
      </c>
      <c r="Y43" s="6">
        <v>4</v>
      </c>
      <c r="Z43" s="6">
        <v>4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8">
        <f t="shared" si="14"/>
        <v>4.125</v>
      </c>
      <c r="AN43" s="8">
        <f t="shared" si="15"/>
        <v>4</v>
      </c>
      <c r="AO43" s="8">
        <f t="shared" si="16"/>
        <v>5</v>
      </c>
      <c r="AP43" s="8">
        <f t="shared" si="17"/>
        <v>4</v>
      </c>
      <c r="AQ43" s="8">
        <f t="shared" si="18"/>
        <v>4</v>
      </c>
      <c r="AR43" s="8">
        <f t="shared" si="19"/>
        <v>4</v>
      </c>
      <c r="AS43" s="8">
        <f t="shared" si="20"/>
        <v>4</v>
      </c>
      <c r="AT43" s="8" t="str">
        <f t="shared" si="21"/>
        <v/>
      </c>
      <c r="AU43" s="8" t="str">
        <f t="shared" si="22"/>
        <v/>
      </c>
      <c r="AV43" s="8" t="str">
        <f t="shared" si="23"/>
        <v/>
      </c>
      <c r="AW43" s="8" t="str">
        <f t="shared" si="24"/>
        <v/>
      </c>
      <c r="AX43" s="8" t="str">
        <f t="shared" si="25"/>
        <v/>
      </c>
      <c r="AY43" s="8" t="str">
        <f t="shared" si="26"/>
        <v/>
      </c>
      <c r="AZ43" s="9" t="str">
        <f t="shared" si="27"/>
        <v/>
      </c>
      <c r="BA43" s="6">
        <v>1</v>
      </c>
      <c r="BB43" s="6"/>
    </row>
    <row r="44" spans="1:54" x14ac:dyDescent="0.45">
      <c r="A44" s="6" t="s">
        <v>175</v>
      </c>
      <c r="B44" s="6">
        <v>44</v>
      </c>
      <c r="C44" s="6">
        <v>0</v>
      </c>
      <c r="D44" s="6">
        <v>1</v>
      </c>
      <c r="E44" s="6">
        <v>1</v>
      </c>
      <c r="F44" s="6">
        <v>44</v>
      </c>
      <c r="G44" s="6">
        <v>17</v>
      </c>
      <c r="H44" s="6">
        <v>1</v>
      </c>
      <c r="I44" s="6"/>
      <c r="J44" s="6">
        <v>4</v>
      </c>
      <c r="K44" s="6">
        <v>2</v>
      </c>
      <c r="L44" s="6"/>
      <c r="M44" s="6">
        <v>2</v>
      </c>
      <c r="N44" s="6">
        <v>2</v>
      </c>
      <c r="O44" s="6">
        <v>3</v>
      </c>
      <c r="P44" s="6">
        <v>3</v>
      </c>
      <c r="Q44" s="6">
        <v>3</v>
      </c>
      <c r="R44" s="6">
        <v>3</v>
      </c>
      <c r="S44" s="6">
        <v>3</v>
      </c>
      <c r="T44" s="6">
        <v>2</v>
      </c>
      <c r="U44" s="6">
        <v>4</v>
      </c>
      <c r="V44" s="6">
        <v>3</v>
      </c>
      <c r="W44" s="6">
        <v>3</v>
      </c>
      <c r="X44" s="6">
        <v>3</v>
      </c>
      <c r="Y44" s="6">
        <v>3</v>
      </c>
      <c r="Z44" s="6">
        <v>4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8">
        <f t="shared" si="14"/>
        <v>3</v>
      </c>
      <c r="AN44" s="8">
        <f t="shared" si="15"/>
        <v>3</v>
      </c>
      <c r="AO44" s="8">
        <f t="shared" si="16"/>
        <v>3</v>
      </c>
      <c r="AP44" s="8">
        <f t="shared" si="17"/>
        <v>3</v>
      </c>
      <c r="AQ44" s="8">
        <f t="shared" si="18"/>
        <v>2.5</v>
      </c>
      <c r="AR44" s="8">
        <f t="shared" si="19"/>
        <v>3.5</v>
      </c>
      <c r="AS44" s="8">
        <f t="shared" si="20"/>
        <v>3.25</v>
      </c>
      <c r="AT44" s="8" t="str">
        <f t="shared" si="21"/>
        <v/>
      </c>
      <c r="AU44" s="8" t="str">
        <f t="shared" si="22"/>
        <v/>
      </c>
      <c r="AV44" s="8" t="str">
        <f t="shared" si="23"/>
        <v/>
      </c>
      <c r="AW44" s="8" t="str">
        <f t="shared" si="24"/>
        <v/>
      </c>
      <c r="AX44" s="8" t="str">
        <f t="shared" si="25"/>
        <v/>
      </c>
      <c r="AY44" s="8" t="str">
        <f t="shared" si="26"/>
        <v/>
      </c>
      <c r="AZ44" s="9" t="str">
        <f t="shared" si="27"/>
        <v/>
      </c>
      <c r="BA44" s="6">
        <v>1</v>
      </c>
      <c r="BB44" s="6"/>
    </row>
    <row r="45" spans="1:54" x14ac:dyDescent="0.45">
      <c r="A45" s="6" t="s">
        <v>176</v>
      </c>
      <c r="B45" s="6">
        <v>45</v>
      </c>
      <c r="C45" s="6">
        <v>0</v>
      </c>
      <c r="D45" s="6">
        <v>2</v>
      </c>
      <c r="E45" s="6">
        <v>2</v>
      </c>
      <c r="F45" s="6">
        <v>34</v>
      </c>
      <c r="G45" s="6">
        <v>8</v>
      </c>
      <c r="H45" s="6">
        <v>1</v>
      </c>
      <c r="I45" s="6"/>
      <c r="J45" s="6">
        <v>2</v>
      </c>
      <c r="K45" s="6">
        <v>2</v>
      </c>
      <c r="L45" s="6"/>
      <c r="M45" s="6">
        <v>4</v>
      </c>
      <c r="N45" s="6">
        <v>4</v>
      </c>
      <c r="O45" s="6">
        <v>3</v>
      </c>
      <c r="P45" s="6">
        <v>3</v>
      </c>
      <c r="Q45" s="6">
        <v>3</v>
      </c>
      <c r="R45" s="6">
        <v>3</v>
      </c>
      <c r="S45" s="6">
        <v>3</v>
      </c>
      <c r="T45" s="6">
        <v>2</v>
      </c>
      <c r="U45" s="6">
        <v>3</v>
      </c>
      <c r="V45" s="6">
        <v>3</v>
      </c>
      <c r="W45" s="6">
        <v>5</v>
      </c>
      <c r="X45" s="6">
        <v>5</v>
      </c>
      <c r="Y45" s="6">
        <v>5</v>
      </c>
      <c r="Z45" s="6">
        <v>5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8">
        <f t="shared" si="14"/>
        <v>2.875</v>
      </c>
      <c r="AN45" s="8">
        <f t="shared" si="15"/>
        <v>3</v>
      </c>
      <c r="AO45" s="8">
        <f t="shared" si="16"/>
        <v>3</v>
      </c>
      <c r="AP45" s="8">
        <f t="shared" si="17"/>
        <v>3</v>
      </c>
      <c r="AQ45" s="8">
        <f t="shared" si="18"/>
        <v>2.5</v>
      </c>
      <c r="AR45" s="8">
        <f t="shared" si="19"/>
        <v>3</v>
      </c>
      <c r="AS45" s="8">
        <f t="shared" si="20"/>
        <v>5</v>
      </c>
      <c r="AT45" s="8" t="str">
        <f t="shared" si="21"/>
        <v/>
      </c>
      <c r="AU45" s="8" t="str">
        <f t="shared" si="22"/>
        <v/>
      </c>
      <c r="AV45" s="8" t="str">
        <f t="shared" si="23"/>
        <v/>
      </c>
      <c r="AW45" s="8" t="str">
        <f t="shared" si="24"/>
        <v/>
      </c>
      <c r="AX45" s="8" t="str">
        <f t="shared" si="25"/>
        <v/>
      </c>
      <c r="AY45" s="8" t="str">
        <f t="shared" si="26"/>
        <v/>
      </c>
      <c r="AZ45" s="9" t="str">
        <f t="shared" si="27"/>
        <v/>
      </c>
      <c r="BA45" s="6">
        <v>1</v>
      </c>
      <c r="BB45" s="6"/>
    </row>
    <row r="46" spans="1:54" x14ac:dyDescent="0.45">
      <c r="A46" s="6" t="s">
        <v>177</v>
      </c>
      <c r="B46" s="6">
        <v>46</v>
      </c>
      <c r="C46" s="6">
        <v>1</v>
      </c>
      <c r="D46" s="6">
        <v>1</v>
      </c>
      <c r="E46" s="6">
        <v>1</v>
      </c>
      <c r="F46" s="6">
        <v>33</v>
      </c>
      <c r="G46" s="6">
        <v>8</v>
      </c>
      <c r="H46" s="6">
        <v>2</v>
      </c>
      <c r="I46" s="6"/>
      <c r="J46" s="6">
        <v>3</v>
      </c>
      <c r="K46" s="6">
        <v>2</v>
      </c>
      <c r="L46" s="6"/>
      <c r="M46" s="6">
        <v>1</v>
      </c>
      <c r="N46" s="6">
        <v>1</v>
      </c>
      <c r="O46" s="6">
        <v>4</v>
      </c>
      <c r="P46" s="6">
        <v>4</v>
      </c>
      <c r="Q46" s="6">
        <v>4</v>
      </c>
      <c r="R46" s="6">
        <v>4</v>
      </c>
      <c r="S46" s="6">
        <v>5</v>
      </c>
      <c r="T46" s="6">
        <v>4</v>
      </c>
      <c r="U46" s="6">
        <v>5</v>
      </c>
      <c r="V46" s="6">
        <v>4</v>
      </c>
      <c r="W46" s="6">
        <v>4</v>
      </c>
      <c r="X46" s="6">
        <v>3</v>
      </c>
      <c r="Y46" s="6">
        <v>5</v>
      </c>
      <c r="Z46" s="6">
        <v>3</v>
      </c>
      <c r="AA46" s="6">
        <v>4</v>
      </c>
      <c r="AB46" s="6">
        <v>4</v>
      </c>
      <c r="AC46" s="6">
        <v>3</v>
      </c>
      <c r="AD46" s="6">
        <v>2</v>
      </c>
      <c r="AE46" s="6">
        <v>3</v>
      </c>
      <c r="AF46" s="6">
        <v>1</v>
      </c>
      <c r="AG46" s="6">
        <v>4</v>
      </c>
      <c r="AH46" s="6">
        <v>3</v>
      </c>
      <c r="AI46" s="6">
        <v>1</v>
      </c>
      <c r="AJ46" s="6">
        <v>1</v>
      </c>
      <c r="AK46" s="6">
        <v>4</v>
      </c>
      <c r="AL46" s="6">
        <v>1</v>
      </c>
      <c r="AM46" s="8">
        <f t="shared" si="14"/>
        <v>4.25</v>
      </c>
      <c r="AN46" s="8">
        <f t="shared" si="15"/>
        <v>4</v>
      </c>
      <c r="AO46" s="8">
        <f t="shared" si="16"/>
        <v>4</v>
      </c>
      <c r="AP46" s="8">
        <f t="shared" si="17"/>
        <v>4</v>
      </c>
      <c r="AQ46" s="8">
        <f t="shared" si="18"/>
        <v>4.5</v>
      </c>
      <c r="AR46" s="8">
        <f t="shared" si="19"/>
        <v>4.5</v>
      </c>
      <c r="AS46" s="8">
        <f t="shared" si="20"/>
        <v>3.75</v>
      </c>
      <c r="AT46" s="8">
        <f t="shared" si="21"/>
        <v>4</v>
      </c>
      <c r="AU46" s="8">
        <f t="shared" si="22"/>
        <v>2.5</v>
      </c>
      <c r="AV46" s="8">
        <f t="shared" si="23"/>
        <v>2</v>
      </c>
      <c r="AW46" s="8">
        <f t="shared" si="24"/>
        <v>3.5</v>
      </c>
      <c r="AX46" s="8">
        <f t="shared" si="25"/>
        <v>3</v>
      </c>
      <c r="AY46" s="8">
        <f t="shared" si="26"/>
        <v>1.75</v>
      </c>
      <c r="AZ46" s="9">
        <f t="shared" si="27"/>
        <v>0</v>
      </c>
      <c r="BA46" s="6">
        <v>1</v>
      </c>
      <c r="BB46" s="6"/>
    </row>
    <row r="47" spans="1:54" x14ac:dyDescent="0.45">
      <c r="A47" s="6" t="s">
        <v>178</v>
      </c>
      <c r="B47" s="6">
        <v>47</v>
      </c>
      <c r="C47" s="6">
        <v>0</v>
      </c>
      <c r="D47" s="6">
        <v>1</v>
      </c>
      <c r="E47" s="6">
        <v>1</v>
      </c>
      <c r="F47" s="6">
        <v>45</v>
      </c>
      <c r="G47" s="6">
        <v>19</v>
      </c>
      <c r="H47" s="6">
        <v>1</v>
      </c>
      <c r="I47" s="6"/>
      <c r="J47" s="6">
        <v>4</v>
      </c>
      <c r="K47" s="6">
        <v>2</v>
      </c>
      <c r="L47" s="6"/>
      <c r="M47" s="6">
        <v>2</v>
      </c>
      <c r="N47" s="6">
        <v>1</v>
      </c>
      <c r="O47" s="6">
        <v>4</v>
      </c>
      <c r="P47" s="6">
        <v>4</v>
      </c>
      <c r="Q47" s="6">
        <v>5</v>
      </c>
      <c r="R47" s="6">
        <v>3</v>
      </c>
      <c r="S47" s="6">
        <v>2</v>
      </c>
      <c r="T47" s="6">
        <v>2</v>
      </c>
      <c r="U47" s="6">
        <v>4</v>
      </c>
      <c r="V47" s="6">
        <v>3</v>
      </c>
      <c r="W47" s="6">
        <v>4</v>
      </c>
      <c r="X47" s="6">
        <v>4</v>
      </c>
      <c r="Y47" s="6">
        <v>4</v>
      </c>
      <c r="Z47" s="6">
        <v>3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8">
        <f t="shared" si="14"/>
        <v>3.375</v>
      </c>
      <c r="AN47" s="8">
        <f t="shared" si="15"/>
        <v>4</v>
      </c>
      <c r="AO47" s="8">
        <f t="shared" si="16"/>
        <v>4</v>
      </c>
      <c r="AP47" s="8">
        <f t="shared" si="17"/>
        <v>4</v>
      </c>
      <c r="AQ47" s="8">
        <f t="shared" si="18"/>
        <v>2</v>
      </c>
      <c r="AR47" s="8">
        <f t="shared" si="19"/>
        <v>3.5</v>
      </c>
      <c r="AS47" s="8">
        <f t="shared" si="20"/>
        <v>3.75</v>
      </c>
      <c r="AT47" s="8" t="str">
        <f t="shared" si="21"/>
        <v/>
      </c>
      <c r="AU47" s="8" t="str">
        <f t="shared" si="22"/>
        <v/>
      </c>
      <c r="AV47" s="8" t="str">
        <f t="shared" si="23"/>
        <v/>
      </c>
      <c r="AW47" s="8" t="str">
        <f t="shared" si="24"/>
        <v/>
      </c>
      <c r="AX47" s="8" t="str">
        <f t="shared" si="25"/>
        <v/>
      </c>
      <c r="AY47" s="8" t="str">
        <f t="shared" si="26"/>
        <v/>
      </c>
      <c r="AZ47" s="9" t="str">
        <f t="shared" si="27"/>
        <v/>
      </c>
      <c r="BA47" s="6">
        <v>1</v>
      </c>
      <c r="BB47" s="6"/>
    </row>
    <row r="48" spans="1:54" x14ac:dyDescent="0.45">
      <c r="A48" s="6" t="s">
        <v>179</v>
      </c>
      <c r="B48" s="6">
        <v>48</v>
      </c>
      <c r="C48" s="6">
        <v>0</v>
      </c>
      <c r="D48" s="6">
        <v>1</v>
      </c>
      <c r="E48" s="6">
        <v>1</v>
      </c>
      <c r="F48" s="6">
        <v>30</v>
      </c>
      <c r="G48" s="6">
        <v>5</v>
      </c>
      <c r="H48" s="6">
        <v>2</v>
      </c>
      <c r="I48" s="6"/>
      <c r="J48" s="6">
        <v>4</v>
      </c>
      <c r="K48" s="6">
        <v>3</v>
      </c>
      <c r="L48" s="6"/>
      <c r="M48" s="6">
        <v>2</v>
      </c>
      <c r="N48" s="6">
        <v>1</v>
      </c>
      <c r="O48" s="6">
        <v>4</v>
      </c>
      <c r="P48" s="6">
        <v>4</v>
      </c>
      <c r="Q48" s="6">
        <v>4</v>
      </c>
      <c r="R48" s="6">
        <v>4</v>
      </c>
      <c r="S48" s="6">
        <v>4</v>
      </c>
      <c r="T48" s="6">
        <v>4</v>
      </c>
      <c r="U48" s="6">
        <v>4</v>
      </c>
      <c r="V48" s="6">
        <v>4</v>
      </c>
      <c r="W48" s="6">
        <v>3</v>
      </c>
      <c r="X48" s="6">
        <v>3</v>
      </c>
      <c r="Y48" s="6">
        <v>3</v>
      </c>
      <c r="Z48" s="6">
        <v>3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8">
        <f t="shared" si="14"/>
        <v>4</v>
      </c>
      <c r="AN48" s="8">
        <f t="shared" si="15"/>
        <v>4</v>
      </c>
      <c r="AO48" s="8">
        <f t="shared" si="16"/>
        <v>4</v>
      </c>
      <c r="AP48" s="8">
        <f t="shared" si="17"/>
        <v>4</v>
      </c>
      <c r="AQ48" s="8">
        <f t="shared" si="18"/>
        <v>4</v>
      </c>
      <c r="AR48" s="8">
        <f t="shared" si="19"/>
        <v>4</v>
      </c>
      <c r="AS48" s="8">
        <f t="shared" si="20"/>
        <v>3</v>
      </c>
      <c r="AT48" s="8" t="str">
        <f t="shared" si="21"/>
        <v/>
      </c>
      <c r="AU48" s="8" t="str">
        <f t="shared" si="22"/>
        <v/>
      </c>
      <c r="AV48" s="8" t="str">
        <f t="shared" si="23"/>
        <v/>
      </c>
      <c r="AW48" s="8" t="str">
        <f t="shared" si="24"/>
        <v/>
      </c>
      <c r="AX48" s="8" t="str">
        <f t="shared" si="25"/>
        <v/>
      </c>
      <c r="AY48" s="8" t="str">
        <f t="shared" si="26"/>
        <v/>
      </c>
      <c r="AZ48" s="9" t="str">
        <f t="shared" si="27"/>
        <v/>
      </c>
      <c r="BA48" s="6">
        <v>1</v>
      </c>
      <c r="BB48" s="6"/>
    </row>
    <row r="49" spans="1:54" x14ac:dyDescent="0.45">
      <c r="A49" s="6" t="s">
        <v>180</v>
      </c>
      <c r="B49" s="6">
        <v>49</v>
      </c>
      <c r="C49" s="6">
        <v>0</v>
      </c>
      <c r="D49" s="6">
        <v>1</v>
      </c>
      <c r="E49" s="6">
        <v>1</v>
      </c>
      <c r="F49" s="6">
        <v>55</v>
      </c>
      <c r="G49" s="6">
        <v>15</v>
      </c>
      <c r="H49" s="6">
        <v>2</v>
      </c>
      <c r="I49" s="6"/>
      <c r="J49" s="6">
        <v>3</v>
      </c>
      <c r="K49" s="6">
        <v>5</v>
      </c>
      <c r="L49" s="6" t="s">
        <v>181</v>
      </c>
      <c r="M49" s="6">
        <v>2</v>
      </c>
      <c r="N49" s="6">
        <v>3</v>
      </c>
      <c r="O49" s="6">
        <v>4</v>
      </c>
      <c r="P49" s="6">
        <v>4</v>
      </c>
      <c r="Q49" s="6">
        <v>4</v>
      </c>
      <c r="R49" s="6">
        <v>4</v>
      </c>
      <c r="S49" s="6">
        <v>4</v>
      </c>
      <c r="T49" s="6">
        <v>2</v>
      </c>
      <c r="U49" s="6">
        <v>4</v>
      </c>
      <c r="V49" s="6">
        <v>4</v>
      </c>
      <c r="W49" s="6">
        <v>4</v>
      </c>
      <c r="X49" s="6">
        <v>5</v>
      </c>
      <c r="Y49" s="6">
        <v>5</v>
      </c>
      <c r="Z49" s="6">
        <v>5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8">
        <f t="shared" si="14"/>
        <v>3.75</v>
      </c>
      <c r="AN49" s="8">
        <f t="shared" si="15"/>
        <v>4</v>
      </c>
      <c r="AO49" s="8">
        <f t="shared" si="16"/>
        <v>4</v>
      </c>
      <c r="AP49" s="8">
        <f t="shared" si="17"/>
        <v>4</v>
      </c>
      <c r="AQ49" s="8">
        <f t="shared" si="18"/>
        <v>3</v>
      </c>
      <c r="AR49" s="8">
        <f t="shared" si="19"/>
        <v>4</v>
      </c>
      <c r="AS49" s="8">
        <f t="shared" si="20"/>
        <v>4.75</v>
      </c>
      <c r="AT49" s="8" t="str">
        <f t="shared" si="21"/>
        <v/>
      </c>
      <c r="AU49" s="8" t="str">
        <f t="shared" si="22"/>
        <v/>
      </c>
      <c r="AV49" s="8" t="str">
        <f t="shared" si="23"/>
        <v/>
      </c>
      <c r="AW49" s="8" t="str">
        <f t="shared" si="24"/>
        <v/>
      </c>
      <c r="AX49" s="8" t="str">
        <f t="shared" si="25"/>
        <v/>
      </c>
      <c r="AY49" s="8" t="str">
        <f t="shared" si="26"/>
        <v/>
      </c>
      <c r="AZ49" s="9" t="str">
        <f t="shared" si="27"/>
        <v/>
      </c>
      <c r="BA49" s="6">
        <v>1</v>
      </c>
      <c r="BB49" s="6"/>
    </row>
    <row r="50" spans="1:54" x14ac:dyDescent="0.45">
      <c r="A50" s="6" t="s">
        <v>182</v>
      </c>
      <c r="B50" s="6">
        <v>50</v>
      </c>
      <c r="C50" s="6">
        <v>1</v>
      </c>
      <c r="D50" s="6">
        <v>1</v>
      </c>
      <c r="E50" s="6">
        <v>1</v>
      </c>
      <c r="F50" s="6">
        <v>63</v>
      </c>
      <c r="G50" s="6">
        <v>37</v>
      </c>
      <c r="H50" s="6">
        <v>3</v>
      </c>
      <c r="I50" s="6"/>
      <c r="J50" s="6">
        <v>2</v>
      </c>
      <c r="K50" s="6">
        <v>4</v>
      </c>
      <c r="L50" s="6"/>
      <c r="M50" s="6">
        <v>1</v>
      </c>
      <c r="N50" s="6">
        <v>3</v>
      </c>
      <c r="O50" s="6">
        <v>4</v>
      </c>
      <c r="P50" s="6">
        <v>4</v>
      </c>
      <c r="Q50" s="6">
        <v>4</v>
      </c>
      <c r="R50" s="6">
        <v>4</v>
      </c>
      <c r="S50" s="6">
        <v>3</v>
      </c>
      <c r="T50" s="6">
        <v>4</v>
      </c>
      <c r="U50" s="6">
        <v>4</v>
      </c>
      <c r="V50" s="6">
        <v>4</v>
      </c>
      <c r="W50" s="6">
        <v>5</v>
      </c>
      <c r="X50" s="6">
        <v>4</v>
      </c>
      <c r="Y50" s="6">
        <v>5</v>
      </c>
      <c r="Z50" s="6">
        <v>4</v>
      </c>
      <c r="AA50" s="6">
        <v>4</v>
      </c>
      <c r="AB50" s="6">
        <v>4</v>
      </c>
      <c r="AC50" s="6">
        <v>4</v>
      </c>
      <c r="AD50" s="6">
        <v>4</v>
      </c>
      <c r="AE50" s="6">
        <v>4</v>
      </c>
      <c r="AF50" s="6">
        <v>4</v>
      </c>
      <c r="AG50" s="6">
        <v>4</v>
      </c>
      <c r="AH50" s="6">
        <v>4</v>
      </c>
      <c r="AI50" s="6">
        <v>4</v>
      </c>
      <c r="AJ50" s="6">
        <v>4</v>
      </c>
      <c r="AK50" s="6">
        <v>4</v>
      </c>
      <c r="AL50" s="6">
        <v>4</v>
      </c>
      <c r="AM50" s="8">
        <f t="shared" si="14"/>
        <v>3.875</v>
      </c>
      <c r="AN50" s="8">
        <f t="shared" si="15"/>
        <v>4</v>
      </c>
      <c r="AO50" s="8">
        <f t="shared" si="16"/>
        <v>4</v>
      </c>
      <c r="AP50" s="8">
        <f t="shared" si="17"/>
        <v>4</v>
      </c>
      <c r="AQ50" s="8">
        <f t="shared" si="18"/>
        <v>3.5</v>
      </c>
      <c r="AR50" s="8">
        <f t="shared" si="19"/>
        <v>4</v>
      </c>
      <c r="AS50" s="8">
        <f t="shared" si="20"/>
        <v>4.5</v>
      </c>
      <c r="AT50" s="8">
        <f t="shared" si="21"/>
        <v>4</v>
      </c>
      <c r="AU50" s="8">
        <f t="shared" si="22"/>
        <v>4</v>
      </c>
      <c r="AV50" s="8">
        <f t="shared" si="23"/>
        <v>4</v>
      </c>
      <c r="AW50" s="8">
        <f t="shared" si="24"/>
        <v>4</v>
      </c>
      <c r="AX50" s="8">
        <f t="shared" si="25"/>
        <v>4</v>
      </c>
      <c r="AY50" s="8">
        <f t="shared" si="26"/>
        <v>4</v>
      </c>
      <c r="AZ50" s="9">
        <f t="shared" si="27"/>
        <v>0</v>
      </c>
      <c r="BA50" s="6">
        <v>1</v>
      </c>
      <c r="BB50" s="6"/>
    </row>
    <row r="51" spans="1:54" x14ac:dyDescent="0.45">
      <c r="A51" s="6" t="s">
        <v>183</v>
      </c>
      <c r="B51" s="6">
        <v>51</v>
      </c>
      <c r="C51" s="6">
        <v>0</v>
      </c>
      <c r="D51" s="6">
        <v>1</v>
      </c>
      <c r="E51" s="6">
        <v>1</v>
      </c>
      <c r="F51" s="6">
        <v>37</v>
      </c>
      <c r="G51" s="6">
        <v>13</v>
      </c>
      <c r="H51" s="6">
        <v>3</v>
      </c>
      <c r="I51" s="6"/>
      <c r="J51" s="6">
        <v>2</v>
      </c>
      <c r="K51" s="6">
        <v>3</v>
      </c>
      <c r="L51" s="6"/>
      <c r="M51" s="6">
        <v>1</v>
      </c>
      <c r="N51" s="6">
        <v>2</v>
      </c>
      <c r="O51" s="6">
        <v>4</v>
      </c>
      <c r="P51" s="6">
        <v>4</v>
      </c>
      <c r="Q51" s="6">
        <v>4</v>
      </c>
      <c r="R51" s="6">
        <v>4</v>
      </c>
      <c r="S51" s="6">
        <v>4</v>
      </c>
      <c r="T51" s="6">
        <v>4</v>
      </c>
      <c r="U51" s="6">
        <v>4</v>
      </c>
      <c r="V51" s="6">
        <v>4</v>
      </c>
      <c r="W51" s="6">
        <v>4</v>
      </c>
      <c r="X51" s="6">
        <v>4</v>
      </c>
      <c r="Y51" s="6">
        <v>4</v>
      </c>
      <c r="Z51" s="6">
        <v>4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8">
        <f t="shared" si="14"/>
        <v>4</v>
      </c>
      <c r="AN51" s="8">
        <f t="shared" si="15"/>
        <v>4</v>
      </c>
      <c r="AO51" s="8">
        <f t="shared" si="16"/>
        <v>4</v>
      </c>
      <c r="AP51" s="8">
        <f t="shared" si="17"/>
        <v>4</v>
      </c>
      <c r="AQ51" s="8">
        <f t="shared" si="18"/>
        <v>4</v>
      </c>
      <c r="AR51" s="8">
        <f t="shared" si="19"/>
        <v>4</v>
      </c>
      <c r="AS51" s="8">
        <f t="shared" si="20"/>
        <v>4</v>
      </c>
      <c r="AT51" s="8" t="str">
        <f t="shared" si="21"/>
        <v/>
      </c>
      <c r="AU51" s="8" t="str">
        <f t="shared" si="22"/>
        <v/>
      </c>
      <c r="AV51" s="8" t="str">
        <f t="shared" si="23"/>
        <v/>
      </c>
      <c r="AW51" s="8" t="str">
        <f t="shared" si="24"/>
        <v/>
      </c>
      <c r="AX51" s="8" t="str">
        <f t="shared" si="25"/>
        <v/>
      </c>
      <c r="AY51" s="8" t="str">
        <f t="shared" si="26"/>
        <v/>
      </c>
      <c r="AZ51" s="9" t="str">
        <f t="shared" si="27"/>
        <v/>
      </c>
      <c r="BA51" s="6">
        <v>1</v>
      </c>
      <c r="BB51" s="6"/>
    </row>
    <row r="52" spans="1:54" x14ac:dyDescent="0.45">
      <c r="A52" s="6" t="s">
        <v>184</v>
      </c>
      <c r="B52" s="6">
        <v>52</v>
      </c>
      <c r="C52" s="6">
        <v>0</v>
      </c>
      <c r="D52" s="6">
        <v>1</v>
      </c>
      <c r="E52" s="6">
        <v>2</v>
      </c>
      <c r="F52" s="6">
        <v>28</v>
      </c>
      <c r="G52" s="6">
        <v>4</v>
      </c>
      <c r="H52" s="6">
        <v>2</v>
      </c>
      <c r="I52" s="6"/>
      <c r="J52" s="6">
        <v>4</v>
      </c>
      <c r="K52" s="6">
        <v>2</v>
      </c>
      <c r="L52" s="6"/>
      <c r="M52" s="6">
        <v>2</v>
      </c>
      <c r="N52" s="6">
        <v>2</v>
      </c>
      <c r="O52" s="6">
        <v>3</v>
      </c>
      <c r="P52" s="6">
        <v>2</v>
      </c>
      <c r="Q52" s="6">
        <v>3</v>
      </c>
      <c r="R52" s="6">
        <v>3</v>
      </c>
      <c r="S52" s="6">
        <v>4</v>
      </c>
      <c r="T52" s="6">
        <v>2</v>
      </c>
      <c r="U52" s="6">
        <v>3</v>
      </c>
      <c r="V52" s="6">
        <v>3</v>
      </c>
      <c r="W52" s="6">
        <v>2</v>
      </c>
      <c r="X52" s="6">
        <v>2</v>
      </c>
      <c r="Y52" s="6">
        <v>2</v>
      </c>
      <c r="Z52" s="6">
        <v>2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8">
        <f t="shared" si="14"/>
        <v>2.875</v>
      </c>
      <c r="AN52" s="8">
        <f t="shared" si="15"/>
        <v>3</v>
      </c>
      <c r="AO52" s="8">
        <f t="shared" si="16"/>
        <v>2</v>
      </c>
      <c r="AP52" s="8">
        <f t="shared" si="17"/>
        <v>3</v>
      </c>
      <c r="AQ52" s="8">
        <f t="shared" si="18"/>
        <v>3</v>
      </c>
      <c r="AR52" s="8">
        <f t="shared" si="19"/>
        <v>3</v>
      </c>
      <c r="AS52" s="8">
        <f t="shared" si="20"/>
        <v>2</v>
      </c>
      <c r="AT52" s="8" t="str">
        <f t="shared" si="21"/>
        <v/>
      </c>
      <c r="AU52" s="8" t="str">
        <f t="shared" si="22"/>
        <v/>
      </c>
      <c r="AV52" s="8" t="str">
        <f t="shared" si="23"/>
        <v/>
      </c>
      <c r="AW52" s="8" t="str">
        <f t="shared" si="24"/>
        <v/>
      </c>
      <c r="AX52" s="8" t="str">
        <f t="shared" si="25"/>
        <v/>
      </c>
      <c r="AY52" s="8" t="str">
        <f t="shared" si="26"/>
        <v/>
      </c>
      <c r="AZ52" s="9" t="str">
        <f t="shared" si="27"/>
        <v/>
      </c>
      <c r="BA52" s="6">
        <v>1</v>
      </c>
      <c r="BB52" s="6"/>
    </row>
    <row r="53" spans="1:54" x14ac:dyDescent="0.45">
      <c r="A53" s="6" t="s">
        <v>185</v>
      </c>
      <c r="B53" s="6">
        <v>53</v>
      </c>
      <c r="C53" s="6">
        <v>0</v>
      </c>
      <c r="D53" s="6">
        <v>2</v>
      </c>
      <c r="E53" s="6">
        <v>1</v>
      </c>
      <c r="F53" s="6">
        <v>33</v>
      </c>
      <c r="G53" s="6">
        <v>7</v>
      </c>
      <c r="H53" s="6">
        <v>1</v>
      </c>
      <c r="I53" s="6"/>
      <c r="J53" s="6">
        <v>2</v>
      </c>
      <c r="K53" s="6">
        <v>2</v>
      </c>
      <c r="L53" s="6"/>
      <c r="M53" s="6">
        <v>1</v>
      </c>
      <c r="N53" s="6">
        <v>3</v>
      </c>
      <c r="O53" s="6">
        <v>4</v>
      </c>
      <c r="P53" s="6">
        <v>5</v>
      </c>
      <c r="Q53" s="6">
        <v>4</v>
      </c>
      <c r="R53" s="6">
        <v>4</v>
      </c>
      <c r="S53" s="6">
        <v>3</v>
      </c>
      <c r="T53" s="6">
        <v>4</v>
      </c>
      <c r="U53" s="6">
        <v>5</v>
      </c>
      <c r="V53" s="6">
        <v>4</v>
      </c>
      <c r="W53" s="6">
        <v>5</v>
      </c>
      <c r="X53" s="6">
        <v>5</v>
      </c>
      <c r="Y53" s="6">
        <v>5</v>
      </c>
      <c r="Z53" s="6">
        <v>4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8">
        <f t="shared" si="14"/>
        <v>4.125</v>
      </c>
      <c r="AN53" s="8">
        <f t="shared" si="15"/>
        <v>4</v>
      </c>
      <c r="AO53" s="8">
        <f t="shared" si="16"/>
        <v>5</v>
      </c>
      <c r="AP53" s="8">
        <f t="shared" si="17"/>
        <v>4</v>
      </c>
      <c r="AQ53" s="8">
        <f t="shared" si="18"/>
        <v>3.5</v>
      </c>
      <c r="AR53" s="8">
        <f t="shared" si="19"/>
        <v>4.5</v>
      </c>
      <c r="AS53" s="8">
        <f t="shared" si="20"/>
        <v>4.75</v>
      </c>
      <c r="AT53" s="8" t="str">
        <f t="shared" si="21"/>
        <v/>
      </c>
      <c r="AU53" s="8" t="str">
        <f t="shared" si="22"/>
        <v/>
      </c>
      <c r="AV53" s="8" t="str">
        <f t="shared" si="23"/>
        <v/>
      </c>
      <c r="AW53" s="8" t="str">
        <f t="shared" si="24"/>
        <v/>
      </c>
      <c r="AX53" s="8" t="str">
        <f t="shared" si="25"/>
        <v/>
      </c>
      <c r="AY53" s="8" t="str">
        <f t="shared" si="26"/>
        <v/>
      </c>
      <c r="AZ53" s="9" t="str">
        <f t="shared" si="27"/>
        <v/>
      </c>
      <c r="BA53" s="6">
        <v>1</v>
      </c>
      <c r="BB53" s="6"/>
    </row>
    <row r="54" spans="1:54" x14ac:dyDescent="0.45">
      <c r="A54" s="6" t="s">
        <v>186</v>
      </c>
      <c r="B54" s="6">
        <v>54</v>
      </c>
      <c r="C54" s="6">
        <v>1</v>
      </c>
      <c r="D54" s="6">
        <v>2</v>
      </c>
      <c r="E54" s="6">
        <v>1</v>
      </c>
      <c r="F54" s="6">
        <v>45</v>
      </c>
      <c r="G54" s="6">
        <v>10</v>
      </c>
      <c r="H54" s="6">
        <v>1</v>
      </c>
      <c r="I54" s="6"/>
      <c r="J54" s="6">
        <v>2</v>
      </c>
      <c r="K54" s="6">
        <v>3</v>
      </c>
      <c r="L54" s="6"/>
      <c r="M54" s="6">
        <v>1</v>
      </c>
      <c r="N54" s="6">
        <v>2</v>
      </c>
      <c r="O54" s="6">
        <v>5</v>
      </c>
      <c r="P54" s="6">
        <v>5</v>
      </c>
      <c r="Q54" s="6">
        <v>5</v>
      </c>
      <c r="R54" s="6">
        <v>5</v>
      </c>
      <c r="S54" s="6">
        <v>5</v>
      </c>
      <c r="T54" s="6">
        <v>4</v>
      </c>
      <c r="U54" s="6">
        <v>5</v>
      </c>
      <c r="V54" s="6">
        <v>5</v>
      </c>
      <c r="W54" s="6">
        <v>1</v>
      </c>
      <c r="X54" s="6">
        <v>1</v>
      </c>
      <c r="Y54" s="6">
        <v>5</v>
      </c>
      <c r="Z54" s="6">
        <v>1</v>
      </c>
      <c r="AA54" s="6">
        <v>5</v>
      </c>
      <c r="AB54" s="6">
        <v>5</v>
      </c>
      <c r="AC54" s="6">
        <v>5</v>
      </c>
      <c r="AD54" s="6">
        <v>5</v>
      </c>
      <c r="AE54" s="6">
        <v>5</v>
      </c>
      <c r="AF54" s="6">
        <v>3</v>
      </c>
      <c r="AG54" s="6">
        <v>5</v>
      </c>
      <c r="AH54" s="6">
        <v>5</v>
      </c>
      <c r="AI54" s="6">
        <v>5</v>
      </c>
      <c r="AJ54" s="6">
        <v>5</v>
      </c>
      <c r="AK54" s="6">
        <v>5</v>
      </c>
      <c r="AL54" s="6">
        <v>5</v>
      </c>
      <c r="AM54" s="8">
        <f t="shared" si="14"/>
        <v>4.875</v>
      </c>
      <c r="AN54" s="8">
        <f t="shared" si="15"/>
        <v>5</v>
      </c>
      <c r="AO54" s="8">
        <f t="shared" si="16"/>
        <v>5</v>
      </c>
      <c r="AP54" s="8">
        <f t="shared" si="17"/>
        <v>5</v>
      </c>
      <c r="AQ54" s="8">
        <f t="shared" si="18"/>
        <v>4.5</v>
      </c>
      <c r="AR54" s="8">
        <f t="shared" si="19"/>
        <v>5</v>
      </c>
      <c r="AS54" s="8">
        <f t="shared" si="20"/>
        <v>2</v>
      </c>
      <c r="AT54" s="8">
        <f t="shared" si="21"/>
        <v>5</v>
      </c>
      <c r="AU54" s="8">
        <f t="shared" si="22"/>
        <v>5</v>
      </c>
      <c r="AV54" s="8">
        <f t="shared" si="23"/>
        <v>4</v>
      </c>
      <c r="AW54" s="8">
        <f t="shared" si="24"/>
        <v>5</v>
      </c>
      <c r="AX54" s="8">
        <f t="shared" si="25"/>
        <v>4.75</v>
      </c>
      <c r="AY54" s="8">
        <f t="shared" si="26"/>
        <v>5</v>
      </c>
      <c r="AZ54" s="9">
        <f t="shared" si="27"/>
        <v>0</v>
      </c>
      <c r="BA54" s="6">
        <v>1</v>
      </c>
      <c r="BB54" s="6"/>
    </row>
    <row r="55" spans="1:54" x14ac:dyDescent="0.45">
      <c r="A55" s="6" t="s">
        <v>187</v>
      </c>
      <c r="B55" s="6">
        <v>55</v>
      </c>
      <c r="C55" s="6">
        <v>1</v>
      </c>
      <c r="D55" s="6">
        <v>1</v>
      </c>
      <c r="E55" s="6">
        <v>1</v>
      </c>
      <c r="F55" s="6">
        <v>40</v>
      </c>
      <c r="G55" s="6">
        <v>10</v>
      </c>
      <c r="H55" s="6">
        <v>3</v>
      </c>
      <c r="I55" s="6"/>
      <c r="J55" s="6">
        <v>1</v>
      </c>
      <c r="K55" s="6">
        <v>2</v>
      </c>
      <c r="L55" s="6"/>
      <c r="M55" s="6">
        <v>1</v>
      </c>
      <c r="N55" s="6">
        <v>2</v>
      </c>
      <c r="O55" s="6">
        <v>4</v>
      </c>
      <c r="P55" s="6">
        <v>4</v>
      </c>
      <c r="Q55" s="6">
        <v>3</v>
      </c>
      <c r="R55" s="6">
        <v>4</v>
      </c>
      <c r="S55" s="6">
        <v>3</v>
      </c>
      <c r="T55" s="6">
        <v>2</v>
      </c>
      <c r="U55" s="6">
        <v>4</v>
      </c>
      <c r="V55" s="6">
        <v>3</v>
      </c>
      <c r="W55" s="6">
        <v>4</v>
      </c>
      <c r="X55" s="6">
        <v>5</v>
      </c>
      <c r="Y55" s="6">
        <v>5</v>
      </c>
      <c r="Z55" s="6">
        <v>4</v>
      </c>
      <c r="AA55" s="6">
        <v>4</v>
      </c>
      <c r="AB55" s="6">
        <v>4</v>
      </c>
      <c r="AC55" s="6">
        <v>4</v>
      </c>
      <c r="AD55" s="6">
        <v>4</v>
      </c>
      <c r="AE55" s="6">
        <v>4</v>
      </c>
      <c r="AF55" s="6">
        <v>4</v>
      </c>
      <c r="AG55" s="6">
        <v>3</v>
      </c>
      <c r="AH55" s="6">
        <v>3</v>
      </c>
      <c r="AI55" s="6">
        <v>4</v>
      </c>
      <c r="AJ55" s="6">
        <v>4</v>
      </c>
      <c r="AK55" s="6">
        <v>2</v>
      </c>
      <c r="AL55" s="6">
        <v>3</v>
      </c>
      <c r="AM55" s="8">
        <f t="shared" si="14"/>
        <v>3.375</v>
      </c>
      <c r="AN55" s="8">
        <f t="shared" si="15"/>
        <v>4</v>
      </c>
      <c r="AO55" s="8">
        <f t="shared" si="16"/>
        <v>4</v>
      </c>
      <c r="AP55" s="8">
        <f t="shared" si="17"/>
        <v>3.5</v>
      </c>
      <c r="AQ55" s="8">
        <f t="shared" si="18"/>
        <v>2.5</v>
      </c>
      <c r="AR55" s="8">
        <f t="shared" si="19"/>
        <v>3.5</v>
      </c>
      <c r="AS55" s="8">
        <f t="shared" si="20"/>
        <v>4.5</v>
      </c>
      <c r="AT55" s="8">
        <f t="shared" si="21"/>
        <v>4</v>
      </c>
      <c r="AU55" s="8">
        <f t="shared" si="22"/>
        <v>4</v>
      </c>
      <c r="AV55" s="8">
        <f t="shared" si="23"/>
        <v>4</v>
      </c>
      <c r="AW55" s="8">
        <f t="shared" si="24"/>
        <v>3</v>
      </c>
      <c r="AX55" s="8">
        <f t="shared" si="25"/>
        <v>3.75</v>
      </c>
      <c r="AY55" s="8">
        <f t="shared" si="26"/>
        <v>3.25</v>
      </c>
      <c r="AZ55" s="9">
        <f t="shared" si="27"/>
        <v>0</v>
      </c>
      <c r="BA55" s="6">
        <v>1</v>
      </c>
      <c r="BB55" s="6"/>
    </row>
    <row r="56" spans="1:54" x14ac:dyDescent="0.45">
      <c r="A56" s="6" t="s">
        <v>188</v>
      </c>
      <c r="B56" s="6">
        <v>56</v>
      </c>
      <c r="C56" s="6">
        <v>1</v>
      </c>
      <c r="D56" s="6">
        <v>2</v>
      </c>
      <c r="E56" s="6">
        <v>1</v>
      </c>
      <c r="F56" s="6">
        <v>35</v>
      </c>
      <c r="G56" s="6">
        <v>10</v>
      </c>
      <c r="H56" s="6">
        <v>4</v>
      </c>
      <c r="I56" s="6" t="s">
        <v>189</v>
      </c>
      <c r="J56" s="6">
        <v>4</v>
      </c>
      <c r="K56" s="6">
        <v>3</v>
      </c>
      <c r="L56" s="6"/>
      <c r="M56" s="6">
        <v>4</v>
      </c>
      <c r="N56" s="6">
        <v>3</v>
      </c>
      <c r="O56" s="6">
        <v>3</v>
      </c>
      <c r="P56" s="6">
        <v>4</v>
      </c>
      <c r="Q56" s="6">
        <v>4</v>
      </c>
      <c r="R56" s="6">
        <v>5</v>
      </c>
      <c r="S56" s="6">
        <v>4</v>
      </c>
      <c r="T56" s="6">
        <v>2</v>
      </c>
      <c r="U56" s="6">
        <v>4</v>
      </c>
      <c r="V56" s="6">
        <v>4</v>
      </c>
      <c r="W56" s="6">
        <v>4</v>
      </c>
      <c r="X56" s="6">
        <v>4</v>
      </c>
      <c r="Y56" s="6">
        <v>3</v>
      </c>
      <c r="Z56" s="6">
        <v>3</v>
      </c>
      <c r="AA56" s="6">
        <v>4</v>
      </c>
      <c r="AB56" s="6">
        <v>4</v>
      </c>
      <c r="AC56" s="6">
        <v>4</v>
      </c>
      <c r="AD56" s="6">
        <v>4</v>
      </c>
      <c r="AE56" s="6">
        <v>5</v>
      </c>
      <c r="AF56" s="6">
        <v>5</v>
      </c>
      <c r="AG56" s="6">
        <v>5</v>
      </c>
      <c r="AH56" s="6">
        <v>5</v>
      </c>
      <c r="AI56" s="6">
        <v>5</v>
      </c>
      <c r="AJ56" s="6">
        <v>5</v>
      </c>
      <c r="AK56" s="6">
        <v>4</v>
      </c>
      <c r="AL56" s="6">
        <v>4</v>
      </c>
      <c r="AM56" s="8">
        <f t="shared" si="14"/>
        <v>3.75</v>
      </c>
      <c r="AN56" s="8">
        <f t="shared" si="15"/>
        <v>3</v>
      </c>
      <c r="AO56" s="8">
        <f t="shared" si="16"/>
        <v>4</v>
      </c>
      <c r="AP56" s="8">
        <f t="shared" si="17"/>
        <v>4.5</v>
      </c>
      <c r="AQ56" s="8">
        <f t="shared" si="18"/>
        <v>3</v>
      </c>
      <c r="AR56" s="8">
        <f t="shared" si="19"/>
        <v>4</v>
      </c>
      <c r="AS56" s="8">
        <f t="shared" si="20"/>
        <v>3.5</v>
      </c>
      <c r="AT56" s="8">
        <f t="shared" si="21"/>
        <v>4</v>
      </c>
      <c r="AU56" s="8">
        <f t="shared" si="22"/>
        <v>4</v>
      </c>
      <c r="AV56" s="8">
        <f t="shared" si="23"/>
        <v>5</v>
      </c>
      <c r="AW56" s="8">
        <f t="shared" si="24"/>
        <v>5</v>
      </c>
      <c r="AX56" s="8">
        <f t="shared" si="25"/>
        <v>4.5</v>
      </c>
      <c r="AY56" s="8">
        <f t="shared" si="26"/>
        <v>4.5</v>
      </c>
      <c r="AZ56" s="9">
        <f t="shared" si="27"/>
        <v>0</v>
      </c>
      <c r="BA56" s="6">
        <v>1</v>
      </c>
      <c r="BB56" s="6"/>
    </row>
    <row r="57" spans="1:54" x14ac:dyDescent="0.45">
      <c r="A57" s="6" t="s">
        <v>190</v>
      </c>
      <c r="B57" s="6">
        <v>57</v>
      </c>
      <c r="C57" s="6">
        <v>0</v>
      </c>
      <c r="D57" s="6">
        <v>2</v>
      </c>
      <c r="E57" s="6">
        <v>2</v>
      </c>
      <c r="F57" s="6">
        <v>39</v>
      </c>
      <c r="G57" s="6">
        <v>13</v>
      </c>
      <c r="H57" s="6">
        <v>1</v>
      </c>
      <c r="I57" s="6"/>
      <c r="J57" s="6">
        <v>1</v>
      </c>
      <c r="K57" s="6">
        <v>2</v>
      </c>
      <c r="L57" s="6"/>
      <c r="M57" s="6">
        <v>2</v>
      </c>
      <c r="N57" s="6">
        <v>3</v>
      </c>
      <c r="O57" s="6">
        <v>2</v>
      </c>
      <c r="P57" s="6">
        <v>2</v>
      </c>
      <c r="Q57" s="6">
        <v>1</v>
      </c>
      <c r="R57" s="6">
        <v>1</v>
      </c>
      <c r="S57" s="6">
        <v>1</v>
      </c>
      <c r="T57" s="6">
        <v>1</v>
      </c>
      <c r="U57" s="6">
        <v>2</v>
      </c>
      <c r="V57" s="6">
        <v>1</v>
      </c>
      <c r="W57" s="6">
        <v>5</v>
      </c>
      <c r="X57" s="6">
        <v>5</v>
      </c>
      <c r="Y57" s="6">
        <v>5</v>
      </c>
      <c r="Z57" s="6">
        <v>5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8">
        <f t="shared" si="14"/>
        <v>1.375</v>
      </c>
      <c r="AN57" s="8">
        <f t="shared" si="15"/>
        <v>2</v>
      </c>
      <c r="AO57" s="8">
        <f t="shared" si="16"/>
        <v>2</v>
      </c>
      <c r="AP57" s="8">
        <f t="shared" si="17"/>
        <v>1</v>
      </c>
      <c r="AQ57" s="8">
        <f t="shared" si="18"/>
        <v>1</v>
      </c>
      <c r="AR57" s="8">
        <f t="shared" si="19"/>
        <v>1.5</v>
      </c>
      <c r="AS57" s="8">
        <f t="shared" si="20"/>
        <v>5</v>
      </c>
      <c r="AT57" s="8" t="str">
        <f t="shared" si="21"/>
        <v/>
      </c>
      <c r="AU57" s="8" t="str">
        <f t="shared" si="22"/>
        <v/>
      </c>
      <c r="AV57" s="8" t="str">
        <f t="shared" si="23"/>
        <v/>
      </c>
      <c r="AW57" s="8" t="str">
        <f t="shared" si="24"/>
        <v/>
      </c>
      <c r="AX57" s="8" t="str">
        <f t="shared" si="25"/>
        <v/>
      </c>
      <c r="AY57" s="8" t="str">
        <f t="shared" si="26"/>
        <v/>
      </c>
      <c r="AZ57" s="9" t="str">
        <f t="shared" si="27"/>
        <v/>
      </c>
      <c r="BA57" s="6">
        <v>1</v>
      </c>
      <c r="BB57" s="6"/>
    </row>
    <row r="58" spans="1:54" x14ac:dyDescent="0.45">
      <c r="A58" s="6" t="s">
        <v>191</v>
      </c>
      <c r="B58" s="6">
        <v>58</v>
      </c>
      <c r="C58" s="6">
        <v>0</v>
      </c>
      <c r="D58" s="6">
        <v>1</v>
      </c>
      <c r="E58" s="6">
        <v>1</v>
      </c>
      <c r="F58" s="6">
        <v>59</v>
      </c>
      <c r="G58" s="6">
        <v>12</v>
      </c>
      <c r="H58" s="6">
        <v>2</v>
      </c>
      <c r="I58" s="6"/>
      <c r="J58" s="6">
        <v>3</v>
      </c>
      <c r="K58" s="6">
        <v>2</v>
      </c>
      <c r="L58" s="6"/>
      <c r="M58" s="6">
        <v>1</v>
      </c>
      <c r="N58" s="6">
        <v>1</v>
      </c>
      <c r="O58" s="6">
        <v>3</v>
      </c>
      <c r="P58" s="6">
        <v>4</v>
      </c>
      <c r="Q58" s="6">
        <v>2</v>
      </c>
      <c r="R58" s="6">
        <v>2</v>
      </c>
      <c r="S58" s="6">
        <v>5</v>
      </c>
      <c r="T58" s="6">
        <v>4</v>
      </c>
      <c r="U58" s="6">
        <v>4</v>
      </c>
      <c r="V58" s="6">
        <v>4</v>
      </c>
      <c r="W58" s="6">
        <v>5</v>
      </c>
      <c r="X58" s="6">
        <v>5</v>
      </c>
      <c r="Y58" s="6">
        <v>4</v>
      </c>
      <c r="Z58" s="6">
        <v>3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8">
        <f t="shared" si="14"/>
        <v>3.5</v>
      </c>
      <c r="AN58" s="8">
        <f t="shared" si="15"/>
        <v>3</v>
      </c>
      <c r="AO58" s="8">
        <f t="shared" si="16"/>
        <v>4</v>
      </c>
      <c r="AP58" s="8">
        <f t="shared" si="17"/>
        <v>2</v>
      </c>
      <c r="AQ58" s="8">
        <f t="shared" si="18"/>
        <v>4.5</v>
      </c>
      <c r="AR58" s="8">
        <f t="shared" si="19"/>
        <v>4</v>
      </c>
      <c r="AS58" s="8">
        <f t="shared" si="20"/>
        <v>4.25</v>
      </c>
      <c r="AT58" s="8" t="str">
        <f t="shared" si="21"/>
        <v/>
      </c>
      <c r="AU58" s="8" t="str">
        <f t="shared" si="22"/>
        <v/>
      </c>
      <c r="AV58" s="8" t="str">
        <f t="shared" si="23"/>
        <v/>
      </c>
      <c r="AW58" s="8" t="str">
        <f t="shared" si="24"/>
        <v/>
      </c>
      <c r="AX58" s="8" t="str">
        <f t="shared" si="25"/>
        <v/>
      </c>
      <c r="AY58" s="8" t="str">
        <f t="shared" si="26"/>
        <v/>
      </c>
      <c r="AZ58" s="9" t="str">
        <f t="shared" si="27"/>
        <v/>
      </c>
      <c r="BA58" s="6">
        <v>1</v>
      </c>
      <c r="BB58" s="6"/>
    </row>
    <row r="59" spans="1:54" x14ac:dyDescent="0.45">
      <c r="A59" s="6" t="s">
        <v>192</v>
      </c>
      <c r="B59" s="6">
        <v>59</v>
      </c>
      <c r="C59" s="6">
        <v>1</v>
      </c>
      <c r="D59" s="6">
        <v>2</v>
      </c>
      <c r="E59" s="6">
        <v>1</v>
      </c>
      <c r="F59" s="6">
        <v>37</v>
      </c>
      <c r="G59" s="6">
        <v>4</v>
      </c>
      <c r="H59" s="6">
        <v>1</v>
      </c>
      <c r="I59" s="6"/>
      <c r="J59" s="6">
        <v>2</v>
      </c>
      <c r="K59" s="6">
        <v>3</v>
      </c>
      <c r="L59" s="6"/>
      <c r="M59" s="6">
        <v>2</v>
      </c>
      <c r="N59" s="6">
        <v>2</v>
      </c>
      <c r="O59" s="6">
        <v>4</v>
      </c>
      <c r="P59" s="6">
        <v>4</v>
      </c>
      <c r="Q59" s="6">
        <v>3</v>
      </c>
      <c r="R59" s="6">
        <v>4</v>
      </c>
      <c r="S59" s="6">
        <v>3</v>
      </c>
      <c r="T59" s="6">
        <v>4</v>
      </c>
      <c r="U59" s="6">
        <v>4</v>
      </c>
      <c r="V59" s="6">
        <v>4</v>
      </c>
      <c r="W59" s="6">
        <v>4</v>
      </c>
      <c r="X59" s="6">
        <v>3</v>
      </c>
      <c r="Y59" s="6">
        <v>3</v>
      </c>
      <c r="Z59" s="6">
        <v>3</v>
      </c>
      <c r="AA59" s="6">
        <v>3</v>
      </c>
      <c r="AB59" s="6">
        <v>4</v>
      </c>
      <c r="AC59" s="6">
        <v>3</v>
      </c>
      <c r="AD59" s="6">
        <v>3</v>
      </c>
      <c r="AE59" s="6">
        <v>3</v>
      </c>
      <c r="AF59" s="6">
        <v>3</v>
      </c>
      <c r="AG59" s="6">
        <v>3</v>
      </c>
      <c r="AH59" s="6">
        <v>3</v>
      </c>
      <c r="AI59" s="6">
        <v>4</v>
      </c>
      <c r="AJ59" s="6">
        <v>3</v>
      </c>
      <c r="AK59" s="6">
        <v>3</v>
      </c>
      <c r="AL59" s="6">
        <v>3</v>
      </c>
      <c r="AM59" s="8">
        <f t="shared" si="14"/>
        <v>3.75</v>
      </c>
      <c r="AN59" s="8">
        <f t="shared" si="15"/>
        <v>4</v>
      </c>
      <c r="AO59" s="8">
        <f t="shared" si="16"/>
        <v>4</v>
      </c>
      <c r="AP59" s="8">
        <f t="shared" si="17"/>
        <v>3.5</v>
      </c>
      <c r="AQ59" s="8">
        <f t="shared" si="18"/>
        <v>3.5</v>
      </c>
      <c r="AR59" s="8">
        <f t="shared" si="19"/>
        <v>4</v>
      </c>
      <c r="AS59" s="8">
        <f t="shared" si="20"/>
        <v>3.25</v>
      </c>
      <c r="AT59" s="8">
        <f t="shared" si="21"/>
        <v>3.5</v>
      </c>
      <c r="AU59" s="8">
        <f t="shared" si="22"/>
        <v>3</v>
      </c>
      <c r="AV59" s="8">
        <f t="shared" si="23"/>
        <v>3</v>
      </c>
      <c r="AW59" s="8">
        <f t="shared" si="24"/>
        <v>3</v>
      </c>
      <c r="AX59" s="8">
        <f t="shared" si="25"/>
        <v>3.125</v>
      </c>
      <c r="AY59" s="8">
        <f t="shared" si="26"/>
        <v>3.25</v>
      </c>
      <c r="AZ59" s="9">
        <f t="shared" si="27"/>
        <v>0</v>
      </c>
      <c r="BA59" s="6">
        <v>1</v>
      </c>
      <c r="BB59" s="6"/>
    </row>
    <row r="60" spans="1:54" x14ac:dyDescent="0.45">
      <c r="A60" s="6" t="s">
        <v>193</v>
      </c>
      <c r="B60" s="6">
        <v>60</v>
      </c>
      <c r="C60" s="6">
        <v>0</v>
      </c>
      <c r="D60" s="6">
        <v>1</v>
      </c>
      <c r="E60" s="6">
        <v>1</v>
      </c>
      <c r="F60" s="6">
        <v>63</v>
      </c>
      <c r="G60" s="6">
        <v>36</v>
      </c>
      <c r="H60" s="6">
        <v>3</v>
      </c>
      <c r="I60" s="6"/>
      <c r="J60" s="6">
        <v>3</v>
      </c>
      <c r="K60" s="6">
        <v>2</v>
      </c>
      <c r="L60" s="6"/>
      <c r="M60" s="6">
        <v>2</v>
      </c>
      <c r="N60" s="6">
        <v>2</v>
      </c>
      <c r="O60" s="6">
        <v>4</v>
      </c>
      <c r="P60" s="6">
        <v>4</v>
      </c>
      <c r="Q60" s="6">
        <v>3</v>
      </c>
      <c r="R60" s="6">
        <v>4</v>
      </c>
      <c r="S60" s="6">
        <v>3</v>
      </c>
      <c r="T60" s="6">
        <v>3</v>
      </c>
      <c r="U60" s="6">
        <v>4</v>
      </c>
      <c r="V60" s="6">
        <v>3</v>
      </c>
      <c r="W60" s="6">
        <v>3</v>
      </c>
      <c r="X60" s="6">
        <v>3</v>
      </c>
      <c r="Y60" s="6">
        <v>4</v>
      </c>
      <c r="Z60" s="6">
        <v>4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8">
        <f t="shared" si="14"/>
        <v>3.5</v>
      </c>
      <c r="AN60" s="8">
        <f t="shared" si="15"/>
        <v>4</v>
      </c>
      <c r="AO60" s="8">
        <f t="shared" si="16"/>
        <v>4</v>
      </c>
      <c r="AP60" s="8">
        <f t="shared" si="17"/>
        <v>3.5</v>
      </c>
      <c r="AQ60" s="8">
        <f t="shared" si="18"/>
        <v>3</v>
      </c>
      <c r="AR60" s="8">
        <f t="shared" si="19"/>
        <v>3.5</v>
      </c>
      <c r="AS60" s="8">
        <f t="shared" si="20"/>
        <v>3.5</v>
      </c>
      <c r="AT60" s="8" t="str">
        <f t="shared" si="21"/>
        <v/>
      </c>
      <c r="AU60" s="8" t="str">
        <f t="shared" si="22"/>
        <v/>
      </c>
      <c r="AV60" s="8" t="str">
        <f t="shared" si="23"/>
        <v/>
      </c>
      <c r="AW60" s="8" t="str">
        <f t="shared" si="24"/>
        <v/>
      </c>
      <c r="AX60" s="8" t="str">
        <f t="shared" si="25"/>
        <v/>
      </c>
      <c r="AY60" s="8" t="str">
        <f t="shared" si="26"/>
        <v/>
      </c>
      <c r="AZ60" s="9" t="str">
        <f t="shared" si="27"/>
        <v/>
      </c>
      <c r="BA60" s="6">
        <v>1</v>
      </c>
      <c r="BB60" s="6"/>
    </row>
    <row r="61" spans="1:54" x14ac:dyDescent="0.45">
      <c r="A61" s="6" t="s">
        <v>194</v>
      </c>
      <c r="B61" s="6">
        <v>61</v>
      </c>
      <c r="C61" s="6">
        <v>0</v>
      </c>
      <c r="D61" s="6">
        <v>1</v>
      </c>
      <c r="E61" s="6">
        <v>2</v>
      </c>
      <c r="F61" s="6">
        <v>35</v>
      </c>
      <c r="G61" s="6">
        <v>4</v>
      </c>
      <c r="H61" s="6">
        <v>2</v>
      </c>
      <c r="I61" s="6"/>
      <c r="J61" s="6">
        <v>3</v>
      </c>
      <c r="K61" s="6">
        <v>2</v>
      </c>
      <c r="L61" s="6"/>
      <c r="M61" s="6">
        <v>2</v>
      </c>
      <c r="N61" s="6">
        <v>1</v>
      </c>
      <c r="O61" s="6">
        <v>3</v>
      </c>
      <c r="P61" s="6">
        <v>4</v>
      </c>
      <c r="Q61" s="6">
        <v>3</v>
      </c>
      <c r="R61" s="6">
        <v>4</v>
      </c>
      <c r="S61" s="6">
        <v>3</v>
      </c>
      <c r="T61" s="6">
        <v>3</v>
      </c>
      <c r="U61" s="6">
        <v>4</v>
      </c>
      <c r="V61" s="6">
        <v>4</v>
      </c>
      <c r="W61" s="6">
        <v>4</v>
      </c>
      <c r="X61" s="6">
        <v>4</v>
      </c>
      <c r="Y61" s="6">
        <v>4</v>
      </c>
      <c r="Z61" s="6">
        <v>3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8">
        <f t="shared" si="14"/>
        <v>3.5</v>
      </c>
      <c r="AN61" s="8">
        <f t="shared" si="15"/>
        <v>3</v>
      </c>
      <c r="AO61" s="8">
        <f t="shared" si="16"/>
        <v>4</v>
      </c>
      <c r="AP61" s="8">
        <f t="shared" si="17"/>
        <v>3.5</v>
      </c>
      <c r="AQ61" s="8">
        <f t="shared" si="18"/>
        <v>3</v>
      </c>
      <c r="AR61" s="8">
        <f t="shared" si="19"/>
        <v>4</v>
      </c>
      <c r="AS61" s="8">
        <f t="shared" si="20"/>
        <v>3.75</v>
      </c>
      <c r="AT61" s="8" t="str">
        <f t="shared" si="21"/>
        <v/>
      </c>
      <c r="AU61" s="8" t="str">
        <f t="shared" si="22"/>
        <v/>
      </c>
      <c r="AV61" s="8" t="str">
        <f t="shared" si="23"/>
        <v/>
      </c>
      <c r="AW61" s="8" t="str">
        <f t="shared" si="24"/>
        <v/>
      </c>
      <c r="AX61" s="8" t="str">
        <f t="shared" si="25"/>
        <v/>
      </c>
      <c r="AY61" s="8" t="str">
        <f t="shared" si="26"/>
        <v/>
      </c>
      <c r="AZ61" s="9" t="str">
        <f t="shared" si="27"/>
        <v/>
      </c>
      <c r="BA61" s="6">
        <v>1</v>
      </c>
      <c r="BB61" s="6"/>
    </row>
    <row r="62" spans="1:54" x14ac:dyDescent="0.45">
      <c r="A62" s="6" t="s">
        <v>195</v>
      </c>
      <c r="B62" s="6">
        <v>62</v>
      </c>
      <c r="C62" s="6">
        <v>0</v>
      </c>
      <c r="D62" s="6">
        <v>1</v>
      </c>
      <c r="E62" s="6">
        <v>1</v>
      </c>
      <c r="F62" s="6">
        <v>32</v>
      </c>
      <c r="G62" s="6">
        <v>2</v>
      </c>
      <c r="H62" s="6">
        <v>2</v>
      </c>
      <c r="I62" s="6"/>
      <c r="J62" s="6">
        <v>4</v>
      </c>
      <c r="K62" s="6">
        <v>2</v>
      </c>
      <c r="L62" s="6"/>
      <c r="M62" s="6">
        <v>2</v>
      </c>
      <c r="N62" s="6">
        <v>1</v>
      </c>
      <c r="O62" s="6">
        <v>4</v>
      </c>
      <c r="P62" s="6">
        <v>4</v>
      </c>
      <c r="Q62" s="6">
        <v>4</v>
      </c>
      <c r="R62" s="6">
        <v>4</v>
      </c>
      <c r="S62" s="6">
        <v>4</v>
      </c>
      <c r="T62" s="6">
        <v>4</v>
      </c>
      <c r="U62" s="6">
        <v>4</v>
      </c>
      <c r="V62" s="6">
        <v>4</v>
      </c>
      <c r="W62" s="6">
        <v>3</v>
      </c>
      <c r="X62" s="6">
        <v>3</v>
      </c>
      <c r="Y62" s="6">
        <v>3</v>
      </c>
      <c r="Z62" s="6">
        <v>3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8">
        <f t="shared" si="14"/>
        <v>4</v>
      </c>
      <c r="AN62" s="8">
        <f t="shared" si="15"/>
        <v>4</v>
      </c>
      <c r="AO62" s="8">
        <f t="shared" si="16"/>
        <v>4</v>
      </c>
      <c r="AP62" s="8">
        <f t="shared" si="17"/>
        <v>4</v>
      </c>
      <c r="AQ62" s="8">
        <f t="shared" si="18"/>
        <v>4</v>
      </c>
      <c r="AR62" s="8">
        <f t="shared" si="19"/>
        <v>4</v>
      </c>
      <c r="AS62" s="8">
        <f t="shared" si="20"/>
        <v>3</v>
      </c>
      <c r="AT62" s="8" t="str">
        <f t="shared" si="21"/>
        <v/>
      </c>
      <c r="AU62" s="8" t="str">
        <f t="shared" si="22"/>
        <v/>
      </c>
      <c r="AV62" s="8" t="str">
        <f t="shared" si="23"/>
        <v/>
      </c>
      <c r="AW62" s="8" t="str">
        <f t="shared" si="24"/>
        <v/>
      </c>
      <c r="AX62" s="8" t="str">
        <f t="shared" si="25"/>
        <v/>
      </c>
      <c r="AY62" s="8" t="str">
        <f t="shared" si="26"/>
        <v/>
      </c>
      <c r="AZ62" s="9" t="str">
        <f t="shared" si="27"/>
        <v/>
      </c>
      <c r="BA62" s="6">
        <v>1</v>
      </c>
      <c r="BB62" s="6"/>
    </row>
    <row r="63" spans="1:54" x14ac:dyDescent="0.45">
      <c r="A63" s="6" t="s">
        <v>196</v>
      </c>
      <c r="B63" s="6">
        <v>63</v>
      </c>
      <c r="C63" s="6">
        <v>1</v>
      </c>
      <c r="D63" s="6">
        <v>2</v>
      </c>
      <c r="E63" s="6">
        <v>1</v>
      </c>
      <c r="F63" s="6">
        <v>46</v>
      </c>
      <c r="G63" s="6">
        <v>6</v>
      </c>
      <c r="H63" s="6">
        <v>1</v>
      </c>
      <c r="I63" s="6"/>
      <c r="J63" s="6">
        <v>4</v>
      </c>
      <c r="K63" s="6">
        <v>3</v>
      </c>
      <c r="L63" s="6"/>
      <c r="M63" s="6">
        <v>4</v>
      </c>
      <c r="N63" s="6">
        <v>2</v>
      </c>
      <c r="O63" s="6">
        <v>3</v>
      </c>
      <c r="P63" s="6">
        <v>3</v>
      </c>
      <c r="Q63" s="6">
        <v>4</v>
      </c>
      <c r="R63" s="6">
        <v>2</v>
      </c>
      <c r="S63" s="6">
        <v>2</v>
      </c>
      <c r="T63" s="6">
        <v>2</v>
      </c>
      <c r="U63" s="6">
        <v>3</v>
      </c>
      <c r="V63" s="6">
        <v>3</v>
      </c>
      <c r="W63" s="6">
        <v>2</v>
      </c>
      <c r="X63" s="6">
        <v>2</v>
      </c>
      <c r="Y63" s="6">
        <v>2</v>
      </c>
      <c r="Z63" s="6">
        <v>2</v>
      </c>
      <c r="AA63" s="6">
        <v>3</v>
      </c>
      <c r="AB63" s="6">
        <v>3</v>
      </c>
      <c r="AC63" s="6">
        <v>3</v>
      </c>
      <c r="AD63" s="6">
        <v>4</v>
      </c>
      <c r="AE63" s="6">
        <v>4</v>
      </c>
      <c r="AF63" s="6">
        <v>4</v>
      </c>
      <c r="AG63" s="6">
        <v>4</v>
      </c>
      <c r="AH63" s="6">
        <v>5</v>
      </c>
      <c r="AI63" s="6">
        <v>5</v>
      </c>
      <c r="AJ63" s="6">
        <v>5</v>
      </c>
      <c r="AK63" s="6">
        <v>5</v>
      </c>
      <c r="AL63" s="6">
        <v>4</v>
      </c>
      <c r="AM63" s="8">
        <f t="shared" si="14"/>
        <v>2.75</v>
      </c>
      <c r="AN63" s="8">
        <f t="shared" si="15"/>
        <v>3</v>
      </c>
      <c r="AO63" s="8">
        <f t="shared" si="16"/>
        <v>3</v>
      </c>
      <c r="AP63" s="8">
        <f t="shared" si="17"/>
        <v>3</v>
      </c>
      <c r="AQ63" s="8">
        <f t="shared" si="18"/>
        <v>2</v>
      </c>
      <c r="AR63" s="8">
        <f t="shared" si="19"/>
        <v>3</v>
      </c>
      <c r="AS63" s="8">
        <f t="shared" si="20"/>
        <v>2</v>
      </c>
      <c r="AT63" s="8">
        <f t="shared" si="21"/>
        <v>3</v>
      </c>
      <c r="AU63" s="8">
        <f t="shared" si="22"/>
        <v>3.5</v>
      </c>
      <c r="AV63" s="8">
        <f t="shared" si="23"/>
        <v>4</v>
      </c>
      <c r="AW63" s="8">
        <f t="shared" si="24"/>
        <v>4.5</v>
      </c>
      <c r="AX63" s="8">
        <f t="shared" si="25"/>
        <v>3.75</v>
      </c>
      <c r="AY63" s="8">
        <f t="shared" si="26"/>
        <v>4.75</v>
      </c>
      <c r="AZ63" s="9">
        <f t="shared" si="27"/>
        <v>0</v>
      </c>
      <c r="BA63" s="6">
        <v>1</v>
      </c>
      <c r="BB63" s="6"/>
    </row>
    <row r="64" spans="1:54" x14ac:dyDescent="0.45">
      <c r="A64" s="6" t="s">
        <v>197</v>
      </c>
      <c r="B64" s="6">
        <v>64</v>
      </c>
      <c r="C64" s="6">
        <v>0</v>
      </c>
      <c r="D64" s="6">
        <v>1</v>
      </c>
      <c r="E64" s="6">
        <v>1</v>
      </c>
      <c r="F64" s="6">
        <v>61</v>
      </c>
      <c r="G64" s="6">
        <v>30</v>
      </c>
      <c r="H64" s="6">
        <v>3</v>
      </c>
      <c r="I64" s="6"/>
      <c r="J64" s="6">
        <v>4</v>
      </c>
      <c r="K64" s="6">
        <v>2</v>
      </c>
      <c r="L64" s="6"/>
      <c r="M64" s="6">
        <v>2</v>
      </c>
      <c r="N64" s="6">
        <v>1</v>
      </c>
      <c r="O64" s="6">
        <v>4</v>
      </c>
      <c r="P64" s="6">
        <v>4</v>
      </c>
      <c r="Q64" s="6">
        <v>3</v>
      </c>
      <c r="R64" s="6">
        <v>4</v>
      </c>
      <c r="S64" s="6">
        <v>4</v>
      </c>
      <c r="T64" s="6">
        <v>3</v>
      </c>
      <c r="U64" s="6">
        <v>4</v>
      </c>
      <c r="V64" s="6">
        <v>4</v>
      </c>
      <c r="W64" s="6">
        <v>3</v>
      </c>
      <c r="X64" s="6">
        <v>4</v>
      </c>
      <c r="Y64" s="6">
        <v>4</v>
      </c>
      <c r="Z64" s="6">
        <v>4</v>
      </c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8">
        <f t="shared" si="14"/>
        <v>3.75</v>
      </c>
      <c r="AN64" s="8">
        <f t="shared" si="15"/>
        <v>4</v>
      </c>
      <c r="AO64" s="8">
        <f t="shared" si="16"/>
        <v>4</v>
      </c>
      <c r="AP64" s="8">
        <f t="shared" si="17"/>
        <v>3.5</v>
      </c>
      <c r="AQ64" s="8">
        <f t="shared" si="18"/>
        <v>3.5</v>
      </c>
      <c r="AR64" s="8">
        <f t="shared" si="19"/>
        <v>4</v>
      </c>
      <c r="AS64" s="8">
        <f t="shared" si="20"/>
        <v>3.75</v>
      </c>
      <c r="AT64" s="8" t="str">
        <f t="shared" si="21"/>
        <v/>
      </c>
      <c r="AU64" s="8" t="str">
        <f t="shared" si="22"/>
        <v/>
      </c>
      <c r="AV64" s="8" t="str">
        <f t="shared" si="23"/>
        <v/>
      </c>
      <c r="AW64" s="8" t="str">
        <f t="shared" si="24"/>
        <v/>
      </c>
      <c r="AX64" s="8" t="str">
        <f t="shared" si="25"/>
        <v/>
      </c>
      <c r="AY64" s="8" t="str">
        <f t="shared" si="26"/>
        <v/>
      </c>
      <c r="AZ64" s="9" t="str">
        <f t="shared" si="27"/>
        <v/>
      </c>
      <c r="BA64" s="6">
        <v>1</v>
      </c>
      <c r="BB64" s="6"/>
    </row>
    <row r="65" spans="1:54" x14ac:dyDescent="0.45">
      <c r="A65" s="6" t="s">
        <v>198</v>
      </c>
      <c r="B65" s="6">
        <v>65</v>
      </c>
      <c r="C65" s="6">
        <v>0</v>
      </c>
      <c r="D65" s="6">
        <v>2</v>
      </c>
      <c r="E65" s="6">
        <v>1</v>
      </c>
      <c r="F65" s="6">
        <v>39</v>
      </c>
      <c r="G65" s="6">
        <v>2</v>
      </c>
      <c r="H65" s="6">
        <v>1</v>
      </c>
      <c r="I65" s="6"/>
      <c r="J65" s="6">
        <v>3</v>
      </c>
      <c r="K65" s="6">
        <v>3</v>
      </c>
      <c r="L65" s="6"/>
      <c r="M65" s="6">
        <v>2</v>
      </c>
      <c r="N65" s="6">
        <v>1</v>
      </c>
      <c r="O65" s="6">
        <v>4</v>
      </c>
      <c r="P65" s="6">
        <v>4</v>
      </c>
      <c r="Q65" s="6">
        <v>4</v>
      </c>
      <c r="R65" s="6">
        <v>4</v>
      </c>
      <c r="S65" s="6">
        <v>3</v>
      </c>
      <c r="T65" s="6">
        <v>2</v>
      </c>
      <c r="U65" s="6">
        <v>4</v>
      </c>
      <c r="V65" s="6">
        <v>3</v>
      </c>
      <c r="W65" s="6">
        <v>4</v>
      </c>
      <c r="X65" s="6">
        <v>4</v>
      </c>
      <c r="Y65" s="6">
        <v>4</v>
      </c>
      <c r="Z65" s="6">
        <v>4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8">
        <f t="shared" si="14"/>
        <v>3.5</v>
      </c>
      <c r="AN65" s="8">
        <f t="shared" si="15"/>
        <v>4</v>
      </c>
      <c r="AO65" s="8">
        <f t="shared" si="16"/>
        <v>4</v>
      </c>
      <c r="AP65" s="8">
        <f t="shared" si="17"/>
        <v>4</v>
      </c>
      <c r="AQ65" s="8">
        <f t="shared" si="18"/>
        <v>2.5</v>
      </c>
      <c r="AR65" s="8">
        <f t="shared" si="19"/>
        <v>3.5</v>
      </c>
      <c r="AS65" s="8">
        <f t="shared" si="20"/>
        <v>4</v>
      </c>
      <c r="AT65" s="8" t="str">
        <f t="shared" si="21"/>
        <v/>
      </c>
      <c r="AU65" s="8" t="str">
        <f t="shared" si="22"/>
        <v/>
      </c>
      <c r="AV65" s="8" t="str">
        <f t="shared" si="23"/>
        <v/>
      </c>
      <c r="AW65" s="8" t="str">
        <f t="shared" si="24"/>
        <v/>
      </c>
      <c r="AX65" s="8" t="str">
        <f t="shared" si="25"/>
        <v/>
      </c>
      <c r="AY65" s="8" t="str">
        <f t="shared" si="26"/>
        <v/>
      </c>
      <c r="AZ65" s="9" t="str">
        <f t="shared" si="27"/>
        <v/>
      </c>
      <c r="BA65" s="6">
        <v>1</v>
      </c>
      <c r="BB65" s="6"/>
    </row>
    <row r="66" spans="1:54" x14ac:dyDescent="0.45">
      <c r="A66" s="6" t="s">
        <v>199</v>
      </c>
      <c r="B66" s="6">
        <v>66</v>
      </c>
      <c r="C66" s="6">
        <v>1</v>
      </c>
      <c r="D66" s="6">
        <v>1</v>
      </c>
      <c r="E66" s="6">
        <v>1</v>
      </c>
      <c r="F66" s="6">
        <v>53</v>
      </c>
      <c r="G66" s="6">
        <v>23</v>
      </c>
      <c r="H66" s="6">
        <v>2</v>
      </c>
      <c r="I66" s="6"/>
      <c r="J66" s="6">
        <v>4</v>
      </c>
      <c r="K66" s="6">
        <v>3</v>
      </c>
      <c r="L66" s="6"/>
      <c r="M66" s="6">
        <v>2</v>
      </c>
      <c r="N66" s="6">
        <v>2</v>
      </c>
      <c r="O66" s="6">
        <v>3</v>
      </c>
      <c r="P66" s="6">
        <v>4</v>
      </c>
      <c r="Q66" s="6">
        <v>3</v>
      </c>
      <c r="R66" s="6">
        <v>3</v>
      </c>
      <c r="S66" s="6">
        <v>3</v>
      </c>
      <c r="T66" s="6">
        <v>3</v>
      </c>
      <c r="U66" s="6">
        <v>4</v>
      </c>
      <c r="V66" s="6">
        <v>4</v>
      </c>
      <c r="W66" s="6">
        <v>3</v>
      </c>
      <c r="X66" s="6">
        <v>3</v>
      </c>
      <c r="Y66" s="6">
        <v>5</v>
      </c>
      <c r="Z66" s="6">
        <v>2</v>
      </c>
      <c r="AA66" s="6">
        <v>4</v>
      </c>
      <c r="AB66" s="6">
        <v>1</v>
      </c>
      <c r="AC66" s="6">
        <v>5</v>
      </c>
      <c r="AD66" s="6">
        <v>3</v>
      </c>
      <c r="AE66" s="6">
        <v>3</v>
      </c>
      <c r="AF66" s="6">
        <v>3</v>
      </c>
      <c r="AG66" s="6">
        <v>4</v>
      </c>
      <c r="AH66" s="6">
        <v>3</v>
      </c>
      <c r="AI66" s="6">
        <v>2</v>
      </c>
      <c r="AJ66" s="6">
        <v>2</v>
      </c>
      <c r="AK66" s="6">
        <v>3</v>
      </c>
      <c r="AL66" s="6">
        <v>3</v>
      </c>
      <c r="AM66" s="8">
        <f t="shared" ref="AM66:AM74" si="28">IF(COUNT(O66:V66)&lt;8,"",AVERAGE(O66:V66))</f>
        <v>3.375</v>
      </c>
      <c r="AN66" s="8">
        <f t="shared" ref="AN66:AN74" si="29">IF(COUNT(O66:O66)&lt;1,"",AVERAGE(O66:O66))</f>
        <v>3</v>
      </c>
      <c r="AO66" s="8">
        <f t="shared" ref="AO66:AO74" si="30">IF(COUNT(P66:P66)&lt;1,"",AVERAGE(P66:P66))</f>
        <v>4</v>
      </c>
      <c r="AP66" s="8">
        <f t="shared" ref="AP66:AP74" si="31">IF(COUNT(Q66:R66)&lt;2,"",AVERAGE(Q66:R66))</f>
        <v>3</v>
      </c>
      <c r="AQ66" s="8">
        <f t="shared" ref="AQ66:AQ74" si="32">IF(COUNT(S66:T66)&lt;2,"",AVERAGE(S66:T66))</f>
        <v>3</v>
      </c>
      <c r="AR66" s="8">
        <f t="shared" ref="AR66:AR74" si="33">IF(COUNT(U66:V66)&lt;2,"",AVERAGE(U66:V66))</f>
        <v>4</v>
      </c>
      <c r="AS66" s="8">
        <f t="shared" ref="AS66:AS74" si="34">IF(COUNT(W66:Z66)&lt;4,"",AVERAGE(W66:Z66))</f>
        <v>3.25</v>
      </c>
      <c r="AT66" s="8">
        <f t="shared" ref="AT66:AT74" si="35">IF($C66&lt;&gt;1,"",IF(COUNT(AA66:AB66)&lt;2,"",AVERAGE(AA66:AB66)))</f>
        <v>2.5</v>
      </c>
      <c r="AU66" s="8">
        <f t="shared" ref="AU66:AU74" si="36">IF($C66&lt;&gt;1,"",IF(COUNT(AC66:AD66)&lt;2,"",AVERAGE(AC66:AD66)))</f>
        <v>4</v>
      </c>
      <c r="AV66" s="8">
        <f t="shared" ref="AV66:AV74" si="37">IF($C66&lt;&gt;1,"",IF(COUNT(AE66:AF66)&lt;2,"",AVERAGE(AE66:AF66)))</f>
        <v>3</v>
      </c>
      <c r="AW66" s="8">
        <f t="shared" ref="AW66:AW74" si="38">IF($C66&lt;&gt;1,"",IF(COUNT(AG66:AH66)&lt;2,"",AVERAGE(AG66:AH66)))</f>
        <v>3.5</v>
      </c>
      <c r="AX66" s="8">
        <f t="shared" ref="AX66:AX74" si="39">IF($C66&lt;&gt;1,"",IF(COUNT(AA66:AH66)&lt;8,"",AVERAGE(AA66:AH66)))</f>
        <v>3.25</v>
      </c>
      <c r="AY66" s="8">
        <f t="shared" ref="AY66:AY74" si="40">IF($C66&lt;&gt;1,"",IF(COUNT(AI66:AL66)&lt;4,"",AVERAGE(AI66:AL66)))</f>
        <v>2.5</v>
      </c>
      <c r="AZ66" s="9">
        <f t="shared" ref="AZ66:AZ74" si="41">IF($C66&lt;&gt;1,"",IF(OR(K66="",M66=""),"",IF(AND(OR(K66=3,K66=4),M66=3),1,0)))</f>
        <v>0</v>
      </c>
      <c r="BA66" s="6">
        <v>1</v>
      </c>
      <c r="BB66" s="6"/>
    </row>
    <row r="67" spans="1:54" x14ac:dyDescent="0.45">
      <c r="A67" s="6" t="s">
        <v>200</v>
      </c>
      <c r="B67" s="6">
        <v>67</v>
      </c>
      <c r="C67" s="6">
        <v>0</v>
      </c>
      <c r="D67" s="6">
        <v>1</v>
      </c>
      <c r="E67" s="6">
        <v>2</v>
      </c>
      <c r="F67" s="6">
        <v>50</v>
      </c>
      <c r="G67" s="6">
        <v>26</v>
      </c>
      <c r="H67" s="6">
        <v>1</v>
      </c>
      <c r="I67" s="6"/>
      <c r="J67" s="6">
        <v>1</v>
      </c>
      <c r="K67" s="6">
        <v>2</v>
      </c>
      <c r="L67" s="6"/>
      <c r="M67" s="6">
        <v>2</v>
      </c>
      <c r="N67" s="6">
        <v>3</v>
      </c>
      <c r="O67" s="6">
        <v>3</v>
      </c>
      <c r="P67" s="6">
        <v>3</v>
      </c>
      <c r="Q67" s="6">
        <v>3</v>
      </c>
      <c r="R67" s="6">
        <v>3</v>
      </c>
      <c r="S67" s="6">
        <v>3</v>
      </c>
      <c r="T67" s="6">
        <v>3</v>
      </c>
      <c r="U67" s="6">
        <v>3</v>
      </c>
      <c r="V67" s="6">
        <v>3</v>
      </c>
      <c r="W67" s="6">
        <v>5</v>
      </c>
      <c r="X67" s="6">
        <v>4</v>
      </c>
      <c r="Y67" s="6">
        <v>4</v>
      </c>
      <c r="Z67" s="6">
        <v>4</v>
      </c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8">
        <f t="shared" si="28"/>
        <v>3</v>
      </c>
      <c r="AN67" s="8">
        <f t="shared" si="29"/>
        <v>3</v>
      </c>
      <c r="AO67" s="8">
        <f t="shared" si="30"/>
        <v>3</v>
      </c>
      <c r="AP67" s="8">
        <f t="shared" si="31"/>
        <v>3</v>
      </c>
      <c r="AQ67" s="8">
        <f t="shared" si="32"/>
        <v>3</v>
      </c>
      <c r="AR67" s="8">
        <f t="shared" si="33"/>
        <v>3</v>
      </c>
      <c r="AS67" s="8">
        <f t="shared" si="34"/>
        <v>4.25</v>
      </c>
      <c r="AT67" s="8" t="str">
        <f t="shared" si="35"/>
        <v/>
      </c>
      <c r="AU67" s="8" t="str">
        <f t="shared" si="36"/>
        <v/>
      </c>
      <c r="AV67" s="8" t="str">
        <f t="shared" si="37"/>
        <v/>
      </c>
      <c r="AW67" s="8" t="str">
        <f t="shared" si="38"/>
        <v/>
      </c>
      <c r="AX67" s="8" t="str">
        <f t="shared" si="39"/>
        <v/>
      </c>
      <c r="AY67" s="8" t="str">
        <f t="shared" si="40"/>
        <v/>
      </c>
      <c r="AZ67" s="9" t="str">
        <f t="shared" si="41"/>
        <v/>
      </c>
      <c r="BA67" s="6">
        <v>1</v>
      </c>
      <c r="BB67" s="6"/>
    </row>
    <row r="68" spans="1:54" x14ac:dyDescent="0.45">
      <c r="A68" s="6" t="s">
        <v>201</v>
      </c>
      <c r="B68" s="6">
        <v>68</v>
      </c>
      <c r="C68" s="6">
        <v>0</v>
      </c>
      <c r="D68" s="6">
        <v>1</v>
      </c>
      <c r="E68" s="6">
        <v>1</v>
      </c>
      <c r="F68" s="6">
        <v>54</v>
      </c>
      <c r="G68" s="6">
        <v>5</v>
      </c>
      <c r="H68" s="6">
        <v>2</v>
      </c>
      <c r="I68" s="6"/>
      <c r="J68" s="6">
        <v>3</v>
      </c>
      <c r="K68" s="6">
        <v>2</v>
      </c>
      <c r="L68" s="6"/>
      <c r="M68" s="6">
        <v>2</v>
      </c>
      <c r="N68" s="6">
        <v>1</v>
      </c>
      <c r="O68" s="6">
        <v>3</v>
      </c>
      <c r="P68" s="6">
        <v>5</v>
      </c>
      <c r="Q68" s="6">
        <v>4</v>
      </c>
      <c r="R68" s="6">
        <v>4</v>
      </c>
      <c r="S68" s="6">
        <v>4</v>
      </c>
      <c r="T68" s="6">
        <v>4</v>
      </c>
      <c r="U68" s="6">
        <v>4</v>
      </c>
      <c r="V68" s="6">
        <v>5</v>
      </c>
      <c r="W68" s="6">
        <v>5</v>
      </c>
      <c r="X68" s="6">
        <v>5</v>
      </c>
      <c r="Y68" s="6">
        <v>5</v>
      </c>
      <c r="Z68" s="6">
        <v>5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8">
        <f t="shared" si="28"/>
        <v>4.125</v>
      </c>
      <c r="AN68" s="8">
        <f t="shared" si="29"/>
        <v>3</v>
      </c>
      <c r="AO68" s="8">
        <f t="shared" si="30"/>
        <v>5</v>
      </c>
      <c r="AP68" s="8">
        <f t="shared" si="31"/>
        <v>4</v>
      </c>
      <c r="AQ68" s="8">
        <f t="shared" si="32"/>
        <v>4</v>
      </c>
      <c r="AR68" s="8">
        <f t="shared" si="33"/>
        <v>4.5</v>
      </c>
      <c r="AS68" s="8">
        <f t="shared" si="34"/>
        <v>5</v>
      </c>
      <c r="AT68" s="8" t="str">
        <f t="shared" si="35"/>
        <v/>
      </c>
      <c r="AU68" s="8" t="str">
        <f t="shared" si="36"/>
        <v/>
      </c>
      <c r="AV68" s="8" t="str">
        <f t="shared" si="37"/>
        <v/>
      </c>
      <c r="AW68" s="8" t="str">
        <f t="shared" si="38"/>
        <v/>
      </c>
      <c r="AX68" s="8" t="str">
        <f t="shared" si="39"/>
        <v/>
      </c>
      <c r="AY68" s="8" t="str">
        <f t="shared" si="40"/>
        <v/>
      </c>
      <c r="AZ68" s="9" t="str">
        <f t="shared" si="41"/>
        <v/>
      </c>
      <c r="BA68" s="6">
        <v>1</v>
      </c>
      <c r="BB68" s="6"/>
    </row>
    <row r="69" spans="1:54" x14ac:dyDescent="0.45">
      <c r="A69" s="6" t="s">
        <v>202</v>
      </c>
      <c r="B69" s="6">
        <v>69</v>
      </c>
      <c r="C69" s="6">
        <v>0</v>
      </c>
      <c r="D69" s="6">
        <v>2</v>
      </c>
      <c r="E69" s="6">
        <v>1</v>
      </c>
      <c r="F69" s="6">
        <v>45</v>
      </c>
      <c r="G69" s="6">
        <v>21</v>
      </c>
      <c r="H69" s="6">
        <v>1</v>
      </c>
      <c r="I69" s="6"/>
      <c r="J69" s="6">
        <v>4</v>
      </c>
      <c r="K69" s="6">
        <v>2</v>
      </c>
      <c r="L69" s="6"/>
      <c r="M69" s="6">
        <v>2</v>
      </c>
      <c r="N69" s="6">
        <v>2</v>
      </c>
      <c r="O69" s="6">
        <v>3</v>
      </c>
      <c r="P69" s="6">
        <v>3</v>
      </c>
      <c r="Q69" s="6">
        <v>3</v>
      </c>
      <c r="R69" s="6">
        <v>4</v>
      </c>
      <c r="S69" s="6">
        <v>4</v>
      </c>
      <c r="T69" s="6">
        <v>2</v>
      </c>
      <c r="U69" s="6">
        <v>2</v>
      </c>
      <c r="V69" s="6">
        <v>3</v>
      </c>
      <c r="W69" s="6">
        <v>5</v>
      </c>
      <c r="X69" s="6">
        <v>5</v>
      </c>
      <c r="Y69" s="6">
        <v>5</v>
      </c>
      <c r="Z69" s="6">
        <v>5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8">
        <f t="shared" si="28"/>
        <v>3</v>
      </c>
      <c r="AN69" s="8">
        <f t="shared" si="29"/>
        <v>3</v>
      </c>
      <c r="AO69" s="8">
        <f t="shared" si="30"/>
        <v>3</v>
      </c>
      <c r="AP69" s="8">
        <f t="shared" si="31"/>
        <v>3.5</v>
      </c>
      <c r="AQ69" s="8">
        <f t="shared" si="32"/>
        <v>3</v>
      </c>
      <c r="AR69" s="8">
        <f t="shared" si="33"/>
        <v>2.5</v>
      </c>
      <c r="AS69" s="8">
        <f t="shared" si="34"/>
        <v>5</v>
      </c>
      <c r="AT69" s="8" t="str">
        <f t="shared" si="35"/>
        <v/>
      </c>
      <c r="AU69" s="8" t="str">
        <f t="shared" si="36"/>
        <v/>
      </c>
      <c r="AV69" s="8" t="str">
        <f t="shared" si="37"/>
        <v/>
      </c>
      <c r="AW69" s="8" t="str">
        <f t="shared" si="38"/>
        <v/>
      </c>
      <c r="AX69" s="8" t="str">
        <f t="shared" si="39"/>
        <v/>
      </c>
      <c r="AY69" s="8" t="str">
        <f t="shared" si="40"/>
        <v/>
      </c>
      <c r="AZ69" s="9" t="str">
        <f t="shared" si="41"/>
        <v/>
      </c>
      <c r="BA69" s="6">
        <v>1</v>
      </c>
      <c r="BB69" s="6"/>
    </row>
    <row r="70" spans="1:54" x14ac:dyDescent="0.45">
      <c r="A70" s="6" t="s">
        <v>203</v>
      </c>
      <c r="B70" s="6">
        <v>70</v>
      </c>
      <c r="C70" s="6">
        <v>0</v>
      </c>
      <c r="D70" s="6">
        <v>1</v>
      </c>
      <c r="E70" s="6">
        <v>1</v>
      </c>
      <c r="F70" s="6">
        <v>67</v>
      </c>
      <c r="G70" s="6">
        <v>10</v>
      </c>
      <c r="H70" s="6">
        <v>2</v>
      </c>
      <c r="I70" s="6"/>
      <c r="J70" s="6">
        <v>4</v>
      </c>
      <c r="K70" s="6">
        <v>2</v>
      </c>
      <c r="L70" s="6"/>
      <c r="M70" s="6">
        <v>2</v>
      </c>
      <c r="N70" s="6">
        <v>2</v>
      </c>
      <c r="O70" s="6">
        <v>3</v>
      </c>
      <c r="P70" s="6">
        <v>4</v>
      </c>
      <c r="Q70" s="6">
        <v>2</v>
      </c>
      <c r="R70" s="6">
        <v>3</v>
      </c>
      <c r="S70" s="6">
        <v>2</v>
      </c>
      <c r="T70" s="6">
        <v>3</v>
      </c>
      <c r="U70" s="6">
        <v>4</v>
      </c>
      <c r="V70" s="6">
        <v>3</v>
      </c>
      <c r="W70" s="6">
        <v>4</v>
      </c>
      <c r="X70" s="6">
        <v>4</v>
      </c>
      <c r="Y70" s="6">
        <v>4</v>
      </c>
      <c r="Z70" s="6">
        <v>3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8">
        <f t="shared" si="28"/>
        <v>3</v>
      </c>
      <c r="AN70" s="8">
        <f t="shared" si="29"/>
        <v>3</v>
      </c>
      <c r="AO70" s="8">
        <f t="shared" si="30"/>
        <v>4</v>
      </c>
      <c r="AP70" s="8">
        <f t="shared" si="31"/>
        <v>2.5</v>
      </c>
      <c r="AQ70" s="8">
        <f t="shared" si="32"/>
        <v>2.5</v>
      </c>
      <c r="AR70" s="8">
        <f t="shared" si="33"/>
        <v>3.5</v>
      </c>
      <c r="AS70" s="8">
        <f t="shared" si="34"/>
        <v>3.75</v>
      </c>
      <c r="AT70" s="8" t="str">
        <f t="shared" si="35"/>
        <v/>
      </c>
      <c r="AU70" s="8" t="str">
        <f t="shared" si="36"/>
        <v/>
      </c>
      <c r="AV70" s="8" t="str">
        <f t="shared" si="37"/>
        <v/>
      </c>
      <c r="AW70" s="8" t="str">
        <f t="shared" si="38"/>
        <v/>
      </c>
      <c r="AX70" s="8" t="str">
        <f t="shared" si="39"/>
        <v/>
      </c>
      <c r="AY70" s="8" t="str">
        <f t="shared" si="40"/>
        <v/>
      </c>
      <c r="AZ70" s="9" t="str">
        <f t="shared" si="41"/>
        <v/>
      </c>
      <c r="BA70" s="6">
        <v>1</v>
      </c>
      <c r="BB70" s="6"/>
    </row>
    <row r="71" spans="1:54" x14ac:dyDescent="0.45">
      <c r="A71" s="6" t="s">
        <v>204</v>
      </c>
      <c r="B71" s="6">
        <v>71</v>
      </c>
      <c r="C71" s="6">
        <v>1</v>
      </c>
      <c r="D71" s="6">
        <v>2</v>
      </c>
      <c r="E71" s="6">
        <v>1</v>
      </c>
      <c r="F71" s="6">
        <v>33</v>
      </c>
      <c r="G71" s="6">
        <v>6</v>
      </c>
      <c r="H71" s="6">
        <v>2</v>
      </c>
      <c r="I71" s="6"/>
      <c r="J71" s="6">
        <v>3</v>
      </c>
      <c r="K71" s="6">
        <v>3</v>
      </c>
      <c r="L71" s="6"/>
      <c r="M71" s="6">
        <v>4</v>
      </c>
      <c r="N71" s="6">
        <v>2</v>
      </c>
      <c r="O71" s="6">
        <v>5</v>
      </c>
      <c r="P71" s="6">
        <v>5</v>
      </c>
      <c r="Q71" s="6">
        <v>5</v>
      </c>
      <c r="R71" s="6">
        <v>5</v>
      </c>
      <c r="S71" s="6">
        <v>4</v>
      </c>
      <c r="T71" s="6">
        <v>2</v>
      </c>
      <c r="U71" s="6">
        <v>3</v>
      </c>
      <c r="V71" s="6">
        <v>5</v>
      </c>
      <c r="W71" s="6">
        <v>4</v>
      </c>
      <c r="X71" s="6">
        <v>5</v>
      </c>
      <c r="Y71" s="6">
        <v>5</v>
      </c>
      <c r="Z71" s="6">
        <v>5</v>
      </c>
      <c r="AA71" s="6">
        <v>1</v>
      </c>
      <c r="AB71" s="6">
        <v>3</v>
      </c>
      <c r="AC71" s="6">
        <v>3</v>
      </c>
      <c r="AD71" s="6">
        <v>3</v>
      </c>
      <c r="AE71" s="6">
        <v>3</v>
      </c>
      <c r="AF71" s="6">
        <v>3</v>
      </c>
      <c r="AG71" s="6">
        <v>3</v>
      </c>
      <c r="AH71" s="6">
        <v>4</v>
      </c>
      <c r="AI71" s="6">
        <v>3</v>
      </c>
      <c r="AJ71" s="6">
        <v>4</v>
      </c>
      <c r="AK71" s="6">
        <v>4</v>
      </c>
      <c r="AL71" s="6">
        <v>4</v>
      </c>
      <c r="AM71" s="8">
        <f t="shared" si="28"/>
        <v>4.25</v>
      </c>
      <c r="AN71" s="8">
        <f t="shared" si="29"/>
        <v>5</v>
      </c>
      <c r="AO71" s="8">
        <f t="shared" si="30"/>
        <v>5</v>
      </c>
      <c r="AP71" s="8">
        <f t="shared" si="31"/>
        <v>5</v>
      </c>
      <c r="AQ71" s="8">
        <f t="shared" si="32"/>
        <v>3</v>
      </c>
      <c r="AR71" s="8">
        <f t="shared" si="33"/>
        <v>4</v>
      </c>
      <c r="AS71" s="8">
        <f t="shared" si="34"/>
        <v>4.75</v>
      </c>
      <c r="AT71" s="8">
        <f t="shared" si="35"/>
        <v>2</v>
      </c>
      <c r="AU71" s="8">
        <f t="shared" si="36"/>
        <v>3</v>
      </c>
      <c r="AV71" s="8">
        <f t="shared" si="37"/>
        <v>3</v>
      </c>
      <c r="AW71" s="8">
        <f t="shared" si="38"/>
        <v>3.5</v>
      </c>
      <c r="AX71" s="8">
        <f t="shared" si="39"/>
        <v>2.875</v>
      </c>
      <c r="AY71" s="8">
        <f t="shared" si="40"/>
        <v>3.75</v>
      </c>
      <c r="AZ71" s="9">
        <f t="shared" si="41"/>
        <v>0</v>
      </c>
      <c r="BA71" s="6">
        <v>1</v>
      </c>
      <c r="BB71" s="6"/>
    </row>
    <row r="72" spans="1:54" x14ac:dyDescent="0.45">
      <c r="A72" s="6" t="s">
        <v>205</v>
      </c>
      <c r="B72" s="6">
        <v>72</v>
      </c>
      <c r="C72" s="6">
        <v>1</v>
      </c>
      <c r="D72" s="6">
        <v>1</v>
      </c>
      <c r="E72" s="6">
        <v>1</v>
      </c>
      <c r="F72" s="6">
        <v>54</v>
      </c>
      <c r="G72" s="6">
        <v>18</v>
      </c>
      <c r="H72" s="6">
        <v>3</v>
      </c>
      <c r="I72" s="6"/>
      <c r="J72" s="6">
        <v>4</v>
      </c>
      <c r="K72" s="6">
        <v>4</v>
      </c>
      <c r="L72" s="6"/>
      <c r="M72" s="6">
        <v>3</v>
      </c>
      <c r="N72" s="6">
        <v>1</v>
      </c>
      <c r="O72" s="6">
        <v>4</v>
      </c>
      <c r="P72" s="6">
        <v>5</v>
      </c>
      <c r="Q72" s="6">
        <v>4</v>
      </c>
      <c r="R72" s="6">
        <v>5</v>
      </c>
      <c r="S72" s="6">
        <v>5</v>
      </c>
      <c r="T72" s="6">
        <v>5</v>
      </c>
      <c r="U72" s="6">
        <v>5</v>
      </c>
      <c r="V72" s="6">
        <v>5</v>
      </c>
      <c r="W72" s="6">
        <v>3</v>
      </c>
      <c r="X72" s="6">
        <v>3</v>
      </c>
      <c r="Y72" s="6">
        <v>3</v>
      </c>
      <c r="Z72" s="6">
        <v>3</v>
      </c>
      <c r="AA72" s="6">
        <v>4</v>
      </c>
      <c r="AB72" s="6">
        <v>4</v>
      </c>
      <c r="AC72" s="6">
        <v>4</v>
      </c>
      <c r="AD72" s="6">
        <v>4</v>
      </c>
      <c r="AE72" s="6">
        <v>4</v>
      </c>
      <c r="AF72" s="6">
        <v>4</v>
      </c>
      <c r="AG72" s="6">
        <v>4</v>
      </c>
      <c r="AH72" s="6">
        <v>4</v>
      </c>
      <c r="AI72" s="6">
        <v>4</v>
      </c>
      <c r="AJ72" s="6">
        <v>4</v>
      </c>
      <c r="AK72" s="6">
        <v>4</v>
      </c>
      <c r="AL72" s="6">
        <v>4</v>
      </c>
      <c r="AM72" s="8">
        <f t="shared" si="28"/>
        <v>4.75</v>
      </c>
      <c r="AN72" s="8">
        <f t="shared" si="29"/>
        <v>4</v>
      </c>
      <c r="AO72" s="8">
        <f t="shared" si="30"/>
        <v>5</v>
      </c>
      <c r="AP72" s="8">
        <f t="shared" si="31"/>
        <v>4.5</v>
      </c>
      <c r="AQ72" s="8">
        <f t="shared" si="32"/>
        <v>5</v>
      </c>
      <c r="AR72" s="8">
        <f t="shared" si="33"/>
        <v>5</v>
      </c>
      <c r="AS72" s="8">
        <f t="shared" si="34"/>
        <v>3</v>
      </c>
      <c r="AT72" s="8">
        <f t="shared" si="35"/>
        <v>4</v>
      </c>
      <c r="AU72" s="8">
        <f t="shared" si="36"/>
        <v>4</v>
      </c>
      <c r="AV72" s="8">
        <f t="shared" si="37"/>
        <v>4</v>
      </c>
      <c r="AW72" s="8">
        <f t="shared" si="38"/>
        <v>4</v>
      </c>
      <c r="AX72" s="8">
        <f t="shared" si="39"/>
        <v>4</v>
      </c>
      <c r="AY72" s="8">
        <f t="shared" si="40"/>
        <v>4</v>
      </c>
      <c r="AZ72" s="9">
        <f t="shared" si="41"/>
        <v>1</v>
      </c>
      <c r="BA72" s="6">
        <v>1</v>
      </c>
      <c r="BB72" s="6"/>
    </row>
    <row r="73" spans="1:54" x14ac:dyDescent="0.45">
      <c r="A73" s="6" t="s">
        <v>206</v>
      </c>
      <c r="B73" s="6">
        <v>73</v>
      </c>
      <c r="C73" s="6">
        <v>1</v>
      </c>
      <c r="D73" s="6">
        <v>1</v>
      </c>
      <c r="E73" s="6">
        <v>1</v>
      </c>
      <c r="F73" s="6">
        <v>53</v>
      </c>
      <c r="G73" s="6">
        <v>25</v>
      </c>
      <c r="H73" s="6">
        <v>4</v>
      </c>
      <c r="I73" s="6" t="s">
        <v>207</v>
      </c>
      <c r="J73" s="6">
        <v>3</v>
      </c>
      <c r="K73" s="6">
        <v>2</v>
      </c>
      <c r="L73" s="6"/>
      <c r="M73" s="6">
        <v>2</v>
      </c>
      <c r="N73" s="6">
        <v>4</v>
      </c>
      <c r="O73" s="6">
        <v>4</v>
      </c>
      <c r="P73" s="6">
        <v>4</v>
      </c>
      <c r="Q73" s="6">
        <v>4</v>
      </c>
      <c r="R73" s="6">
        <v>4</v>
      </c>
      <c r="S73" s="6">
        <v>4</v>
      </c>
      <c r="T73" s="6">
        <v>4</v>
      </c>
      <c r="U73" s="6">
        <v>4</v>
      </c>
      <c r="V73" s="6">
        <v>5</v>
      </c>
      <c r="W73" s="6">
        <v>2</v>
      </c>
      <c r="X73" s="6">
        <v>2</v>
      </c>
      <c r="Y73" s="6">
        <v>2</v>
      </c>
      <c r="Z73" s="6">
        <v>2</v>
      </c>
      <c r="AA73" s="6">
        <v>4</v>
      </c>
      <c r="AB73" s="6">
        <v>4</v>
      </c>
      <c r="AC73" s="6">
        <v>4</v>
      </c>
      <c r="AD73" s="6">
        <v>4</v>
      </c>
      <c r="AE73" s="6">
        <v>4</v>
      </c>
      <c r="AF73" s="6">
        <v>4</v>
      </c>
      <c r="AG73" s="6">
        <v>4</v>
      </c>
      <c r="AH73" s="6">
        <v>4</v>
      </c>
      <c r="AI73" s="6">
        <v>3</v>
      </c>
      <c r="AJ73" s="6">
        <v>4</v>
      </c>
      <c r="AK73" s="6">
        <v>4</v>
      </c>
      <c r="AL73" s="6">
        <v>3</v>
      </c>
      <c r="AM73" s="8">
        <f t="shared" si="28"/>
        <v>4.125</v>
      </c>
      <c r="AN73" s="8">
        <f t="shared" si="29"/>
        <v>4</v>
      </c>
      <c r="AO73" s="8">
        <f t="shared" si="30"/>
        <v>4</v>
      </c>
      <c r="AP73" s="8">
        <f t="shared" si="31"/>
        <v>4</v>
      </c>
      <c r="AQ73" s="8">
        <f t="shared" si="32"/>
        <v>4</v>
      </c>
      <c r="AR73" s="8">
        <f t="shared" si="33"/>
        <v>4.5</v>
      </c>
      <c r="AS73" s="8">
        <f t="shared" si="34"/>
        <v>2</v>
      </c>
      <c r="AT73" s="8">
        <f t="shared" si="35"/>
        <v>4</v>
      </c>
      <c r="AU73" s="8">
        <f t="shared" si="36"/>
        <v>4</v>
      </c>
      <c r="AV73" s="8">
        <f t="shared" si="37"/>
        <v>4</v>
      </c>
      <c r="AW73" s="8">
        <f t="shared" si="38"/>
        <v>4</v>
      </c>
      <c r="AX73" s="8">
        <f t="shared" si="39"/>
        <v>4</v>
      </c>
      <c r="AY73" s="8">
        <f t="shared" si="40"/>
        <v>3.5</v>
      </c>
      <c r="AZ73" s="9">
        <f t="shared" si="41"/>
        <v>0</v>
      </c>
      <c r="BA73" s="6">
        <v>1</v>
      </c>
      <c r="BB73" s="6"/>
    </row>
    <row r="74" spans="1:54" x14ac:dyDescent="0.45">
      <c r="A74" s="6" t="s">
        <v>208</v>
      </c>
      <c r="B74" s="6">
        <v>74</v>
      </c>
      <c r="C74" s="6">
        <v>0</v>
      </c>
      <c r="D74" s="6">
        <v>2</v>
      </c>
      <c r="E74" s="6">
        <v>1</v>
      </c>
      <c r="F74" s="6">
        <v>37</v>
      </c>
      <c r="G74" s="6">
        <v>2</v>
      </c>
      <c r="H74" s="6">
        <v>4</v>
      </c>
      <c r="I74" s="6" t="s">
        <v>209</v>
      </c>
      <c r="J74" s="6">
        <v>4</v>
      </c>
      <c r="K74" s="6">
        <v>2</v>
      </c>
      <c r="L74" s="6"/>
      <c r="M74" s="6">
        <v>4</v>
      </c>
      <c r="N74" s="6">
        <v>3</v>
      </c>
      <c r="O74" s="6">
        <v>1</v>
      </c>
      <c r="P74" s="6">
        <v>5</v>
      </c>
      <c r="Q74" s="6">
        <v>3</v>
      </c>
      <c r="R74" s="6">
        <v>1</v>
      </c>
      <c r="S74" s="6">
        <v>5</v>
      </c>
      <c r="T74" s="6">
        <v>2</v>
      </c>
      <c r="U74" s="6">
        <v>3</v>
      </c>
      <c r="V74" s="6">
        <v>2</v>
      </c>
      <c r="W74" s="6">
        <v>5</v>
      </c>
      <c r="X74" s="6">
        <v>5</v>
      </c>
      <c r="Y74" s="6">
        <v>5</v>
      </c>
      <c r="Z74" s="6">
        <v>4</v>
      </c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8">
        <f t="shared" si="28"/>
        <v>2.75</v>
      </c>
      <c r="AN74" s="8">
        <f t="shared" si="29"/>
        <v>1</v>
      </c>
      <c r="AO74" s="8">
        <f t="shared" si="30"/>
        <v>5</v>
      </c>
      <c r="AP74" s="8">
        <f t="shared" si="31"/>
        <v>2</v>
      </c>
      <c r="AQ74" s="8">
        <f t="shared" si="32"/>
        <v>3.5</v>
      </c>
      <c r="AR74" s="8">
        <f t="shared" si="33"/>
        <v>2.5</v>
      </c>
      <c r="AS74" s="8">
        <f t="shared" si="34"/>
        <v>4.75</v>
      </c>
      <c r="AT74" s="8" t="str">
        <f t="shared" si="35"/>
        <v/>
      </c>
      <c r="AU74" s="8" t="str">
        <f t="shared" si="36"/>
        <v/>
      </c>
      <c r="AV74" s="8" t="str">
        <f t="shared" si="37"/>
        <v/>
      </c>
      <c r="AW74" s="8" t="str">
        <f t="shared" si="38"/>
        <v/>
      </c>
      <c r="AX74" s="8" t="str">
        <f t="shared" si="39"/>
        <v/>
      </c>
      <c r="AY74" s="8" t="str">
        <f t="shared" si="40"/>
        <v/>
      </c>
      <c r="AZ74" s="9" t="str">
        <f t="shared" si="41"/>
        <v/>
      </c>
      <c r="BA74" s="6">
        <v>1</v>
      </c>
      <c r="BB74" s="6"/>
    </row>
  </sheetData>
  <autoFilter ref="A1:BB74" xr:uid="{00000000-0009-0000-0000-000002000000}"/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7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9.33203125" customWidth="1"/>
    <col min="2" max="2" width="7.25" customWidth="1"/>
    <col min="3" max="3" width="10.4140625" customWidth="1"/>
    <col min="4" max="6" width="8.33203125" customWidth="1"/>
    <col min="7" max="7" width="9.33203125" customWidth="1"/>
    <col min="8" max="8" width="19.33203125" customWidth="1"/>
    <col min="9" max="10" width="9.33203125" customWidth="1"/>
    <col min="11" max="11" width="24" customWidth="1"/>
    <col min="12" max="12" width="9.33203125" customWidth="1"/>
    <col min="13" max="13" width="8.33203125" customWidth="1"/>
    <col min="14" max="37" width="6" customWidth="1"/>
    <col min="38" max="38" width="10" customWidth="1"/>
    <col min="39" max="40" width="6" customWidth="1"/>
    <col min="41" max="50" width="10" customWidth="1"/>
    <col min="51" max="51" width="10.4140625" customWidth="1"/>
    <col min="52" max="52" width="9.33203125" customWidth="1"/>
    <col min="53" max="53" width="24" customWidth="1"/>
  </cols>
  <sheetData>
    <row r="1" spans="1:53" x14ac:dyDescent="0.45">
      <c r="A1" s="4" t="s">
        <v>42</v>
      </c>
      <c r="B1" s="4" t="s">
        <v>46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221</v>
      </c>
      <c r="O1" s="4" t="s">
        <v>222</v>
      </c>
      <c r="P1" s="4" t="s">
        <v>223</v>
      </c>
      <c r="Q1" s="4" t="s">
        <v>224</v>
      </c>
      <c r="R1" s="4" t="s">
        <v>225</v>
      </c>
      <c r="S1" s="4" t="s">
        <v>226</v>
      </c>
      <c r="T1" s="4" t="s">
        <v>227</v>
      </c>
      <c r="U1" s="4" t="s">
        <v>228</v>
      </c>
      <c r="V1" s="4" t="s">
        <v>229</v>
      </c>
      <c r="W1" s="4" t="s">
        <v>230</v>
      </c>
      <c r="X1" s="4" t="s">
        <v>231</v>
      </c>
      <c r="Y1" s="4" t="s">
        <v>232</v>
      </c>
      <c r="Z1" s="4" t="s">
        <v>233</v>
      </c>
      <c r="AA1" s="4" t="s">
        <v>234</v>
      </c>
      <c r="AB1" s="4" t="s">
        <v>235</v>
      </c>
      <c r="AC1" s="4" t="s">
        <v>236</v>
      </c>
      <c r="AD1" s="4" t="s">
        <v>237</v>
      </c>
      <c r="AE1" s="4" t="s">
        <v>238</v>
      </c>
      <c r="AF1" s="4" t="s">
        <v>239</v>
      </c>
      <c r="AG1" s="4" t="s">
        <v>240</v>
      </c>
      <c r="AH1" s="4" t="s">
        <v>241</v>
      </c>
      <c r="AI1" s="4" t="s">
        <v>242</v>
      </c>
      <c r="AJ1" s="4" t="s">
        <v>243</v>
      </c>
      <c r="AK1" s="4" t="s">
        <v>244</v>
      </c>
      <c r="AL1" s="4" t="s">
        <v>245</v>
      </c>
      <c r="AM1" s="4" t="s">
        <v>270</v>
      </c>
      <c r="AN1" s="4" t="s">
        <v>271</v>
      </c>
      <c r="AO1" s="4" t="s">
        <v>272</v>
      </c>
      <c r="AP1" s="4" t="s">
        <v>273</v>
      </c>
      <c r="AQ1" s="4" t="s">
        <v>274</v>
      </c>
      <c r="AR1" s="4" t="s">
        <v>275</v>
      </c>
      <c r="AS1" s="4" t="s">
        <v>276</v>
      </c>
      <c r="AT1" s="4" t="s">
        <v>277</v>
      </c>
      <c r="AU1" s="4" t="s">
        <v>278</v>
      </c>
      <c r="AV1" s="4" t="s">
        <v>279</v>
      </c>
      <c r="AW1" s="4" t="s">
        <v>256</v>
      </c>
      <c r="AX1" s="4" t="s">
        <v>257</v>
      </c>
      <c r="AY1" s="4" t="s">
        <v>258</v>
      </c>
      <c r="AZ1" s="4" t="s">
        <v>82</v>
      </c>
      <c r="BA1" s="4" t="s">
        <v>83</v>
      </c>
    </row>
    <row r="2" spans="1:53" x14ac:dyDescent="0.45">
      <c r="A2" s="6" t="s">
        <v>84</v>
      </c>
      <c r="B2" s="6">
        <v>1</v>
      </c>
      <c r="C2" s="6">
        <v>2</v>
      </c>
      <c r="D2" s="6">
        <v>1</v>
      </c>
      <c r="E2" s="6">
        <v>34</v>
      </c>
      <c r="F2" s="6">
        <v>6</v>
      </c>
      <c r="G2" s="6">
        <v>1</v>
      </c>
      <c r="H2" s="6"/>
      <c r="I2" s="6">
        <v>3</v>
      </c>
      <c r="J2" s="6">
        <v>3</v>
      </c>
      <c r="K2" s="6"/>
      <c r="L2" s="6">
        <v>3</v>
      </c>
      <c r="M2" s="6">
        <v>2</v>
      </c>
      <c r="N2" s="6">
        <v>3</v>
      </c>
      <c r="O2" s="6">
        <v>3</v>
      </c>
      <c r="P2" s="6">
        <v>3</v>
      </c>
      <c r="Q2" s="6">
        <v>3</v>
      </c>
      <c r="R2" s="6">
        <v>3</v>
      </c>
      <c r="S2" s="6">
        <v>3</v>
      </c>
      <c r="T2" s="6">
        <v>3</v>
      </c>
      <c r="U2" s="6">
        <v>3</v>
      </c>
      <c r="V2" s="6">
        <v>3</v>
      </c>
      <c r="W2" s="6">
        <v>3</v>
      </c>
      <c r="X2" s="6">
        <v>3</v>
      </c>
      <c r="Y2" s="6">
        <v>3</v>
      </c>
      <c r="Z2" s="6">
        <v>3</v>
      </c>
      <c r="AA2" s="6">
        <v>3</v>
      </c>
      <c r="AB2" s="6">
        <v>3</v>
      </c>
      <c r="AC2" s="6">
        <v>3</v>
      </c>
      <c r="AD2" s="6">
        <v>3</v>
      </c>
      <c r="AE2" s="6">
        <v>3</v>
      </c>
      <c r="AF2" s="6">
        <v>3</v>
      </c>
      <c r="AG2" s="6">
        <v>3</v>
      </c>
      <c r="AH2" s="6">
        <v>3</v>
      </c>
      <c r="AI2" s="6">
        <v>3</v>
      </c>
      <c r="AJ2" s="6">
        <v>3</v>
      </c>
      <c r="AK2" s="6">
        <v>3</v>
      </c>
      <c r="AL2" s="10">
        <v>3</v>
      </c>
      <c r="AM2" s="10">
        <v>3</v>
      </c>
      <c r="AN2" s="10">
        <v>3</v>
      </c>
      <c r="AO2" s="10">
        <v>3</v>
      </c>
      <c r="AP2" s="10">
        <v>3</v>
      </c>
      <c r="AQ2" s="10">
        <v>3</v>
      </c>
      <c r="AR2" s="10">
        <v>3</v>
      </c>
      <c r="AS2" s="10">
        <v>3</v>
      </c>
      <c r="AT2" s="10">
        <v>3</v>
      </c>
      <c r="AU2" s="10">
        <v>3</v>
      </c>
      <c r="AV2" s="10">
        <v>3</v>
      </c>
      <c r="AW2" s="10">
        <v>3</v>
      </c>
      <c r="AX2" s="10">
        <v>3</v>
      </c>
      <c r="AY2" s="6">
        <v>1</v>
      </c>
      <c r="AZ2" s="6">
        <v>0</v>
      </c>
      <c r="BA2" s="6" t="s">
        <v>96</v>
      </c>
    </row>
    <row r="3" spans="1:53" x14ac:dyDescent="0.45">
      <c r="A3" s="6" t="s">
        <v>97</v>
      </c>
      <c r="B3" s="6">
        <v>1</v>
      </c>
      <c r="C3" s="6">
        <v>2</v>
      </c>
      <c r="D3" s="6">
        <v>1</v>
      </c>
      <c r="E3" s="6">
        <v>38</v>
      </c>
      <c r="F3" s="6">
        <v>11</v>
      </c>
      <c r="G3" s="6">
        <v>1</v>
      </c>
      <c r="H3" s="6"/>
      <c r="I3" s="6">
        <v>1</v>
      </c>
      <c r="J3" s="6">
        <v>1</v>
      </c>
      <c r="K3" s="6"/>
      <c r="L3" s="6">
        <v>1</v>
      </c>
      <c r="M3" s="6">
        <v>1</v>
      </c>
      <c r="N3" s="6">
        <v>5</v>
      </c>
      <c r="O3" s="6">
        <v>5</v>
      </c>
      <c r="P3" s="6">
        <v>5</v>
      </c>
      <c r="Q3" s="6">
        <v>5</v>
      </c>
      <c r="R3" s="6">
        <v>5</v>
      </c>
      <c r="S3" s="6">
        <v>5</v>
      </c>
      <c r="T3" s="6">
        <v>5</v>
      </c>
      <c r="U3" s="6">
        <v>5</v>
      </c>
      <c r="V3" s="6">
        <v>5</v>
      </c>
      <c r="W3" s="6">
        <v>5</v>
      </c>
      <c r="X3" s="6">
        <v>5</v>
      </c>
      <c r="Y3" s="6">
        <v>5</v>
      </c>
      <c r="Z3" s="6">
        <v>5</v>
      </c>
      <c r="AA3" s="6">
        <v>5</v>
      </c>
      <c r="AB3" s="6">
        <v>5</v>
      </c>
      <c r="AC3" s="6">
        <v>5</v>
      </c>
      <c r="AD3" s="6">
        <v>5</v>
      </c>
      <c r="AE3" s="6">
        <v>5</v>
      </c>
      <c r="AF3" s="6">
        <v>5</v>
      </c>
      <c r="AG3" s="6">
        <v>5</v>
      </c>
      <c r="AH3" s="6">
        <v>5</v>
      </c>
      <c r="AI3" s="6">
        <v>5</v>
      </c>
      <c r="AJ3" s="6">
        <v>5</v>
      </c>
      <c r="AK3" s="6">
        <v>5</v>
      </c>
      <c r="AL3" s="10">
        <v>5</v>
      </c>
      <c r="AM3" s="10">
        <v>5</v>
      </c>
      <c r="AN3" s="10">
        <v>5</v>
      </c>
      <c r="AO3" s="10">
        <v>5</v>
      </c>
      <c r="AP3" s="10">
        <v>5</v>
      </c>
      <c r="AQ3" s="10">
        <v>5</v>
      </c>
      <c r="AR3" s="10">
        <v>5</v>
      </c>
      <c r="AS3" s="10">
        <v>5</v>
      </c>
      <c r="AT3" s="10">
        <v>5</v>
      </c>
      <c r="AU3" s="10">
        <v>5</v>
      </c>
      <c r="AV3" s="10">
        <v>5</v>
      </c>
      <c r="AW3" s="10">
        <v>5</v>
      </c>
      <c r="AX3" s="10">
        <v>5</v>
      </c>
      <c r="AY3" s="6">
        <v>0</v>
      </c>
      <c r="AZ3" s="6">
        <v>0</v>
      </c>
      <c r="BA3" s="6" t="s">
        <v>105</v>
      </c>
    </row>
    <row r="4" spans="1:53" x14ac:dyDescent="0.45">
      <c r="A4" s="6" t="s">
        <v>106</v>
      </c>
      <c r="B4" s="6">
        <v>0</v>
      </c>
      <c r="C4" s="6">
        <v>1</v>
      </c>
      <c r="D4" s="6">
        <v>1</v>
      </c>
      <c r="E4" s="6">
        <v>58</v>
      </c>
      <c r="F4" s="6">
        <v>35</v>
      </c>
      <c r="G4" s="6">
        <v>3</v>
      </c>
      <c r="H4" s="6"/>
      <c r="I4" s="6">
        <v>2</v>
      </c>
      <c r="J4" s="6">
        <v>2</v>
      </c>
      <c r="K4" s="6"/>
      <c r="L4" s="6">
        <v>2</v>
      </c>
      <c r="M4" s="6">
        <v>2</v>
      </c>
      <c r="N4" s="6">
        <v>3</v>
      </c>
      <c r="O4" s="6">
        <v>3</v>
      </c>
      <c r="P4" s="6">
        <v>2</v>
      </c>
      <c r="Q4" s="6">
        <v>2</v>
      </c>
      <c r="R4" s="6">
        <v>2</v>
      </c>
      <c r="S4" s="6">
        <v>3</v>
      </c>
      <c r="T4" s="6">
        <v>3</v>
      </c>
      <c r="U4" s="6">
        <v>4</v>
      </c>
      <c r="V4" s="6">
        <v>4</v>
      </c>
      <c r="W4" s="6">
        <v>4</v>
      </c>
      <c r="X4" s="6">
        <v>4</v>
      </c>
      <c r="Y4" s="6">
        <v>4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10">
        <v>2.75</v>
      </c>
      <c r="AM4" s="10">
        <v>3</v>
      </c>
      <c r="AN4" s="10">
        <v>3</v>
      </c>
      <c r="AO4" s="10">
        <v>2</v>
      </c>
      <c r="AP4" s="10">
        <v>2.5</v>
      </c>
      <c r="AQ4" s="10">
        <v>3.5</v>
      </c>
      <c r="AR4" s="10">
        <v>4</v>
      </c>
      <c r="AS4" s="10"/>
      <c r="AT4" s="10"/>
      <c r="AU4" s="10"/>
      <c r="AV4" s="10"/>
      <c r="AW4" s="10"/>
      <c r="AX4" s="10"/>
      <c r="AY4" s="6"/>
      <c r="AZ4" s="6">
        <v>1</v>
      </c>
      <c r="BA4" s="6"/>
    </row>
    <row r="5" spans="1:53" x14ac:dyDescent="0.45">
      <c r="A5" s="6" t="s">
        <v>117</v>
      </c>
      <c r="B5" s="6">
        <v>0</v>
      </c>
      <c r="C5" s="6">
        <v>1</v>
      </c>
      <c r="D5" s="6">
        <v>1</v>
      </c>
      <c r="E5" s="6">
        <v>63</v>
      </c>
      <c r="F5" s="6">
        <v>34</v>
      </c>
      <c r="G5" s="6">
        <v>3</v>
      </c>
      <c r="H5" s="6"/>
      <c r="I5" s="6">
        <v>3</v>
      </c>
      <c r="J5" s="6">
        <v>2</v>
      </c>
      <c r="K5" s="6"/>
      <c r="L5" s="6">
        <v>2</v>
      </c>
      <c r="M5" s="6">
        <v>2</v>
      </c>
      <c r="N5" s="6">
        <v>4</v>
      </c>
      <c r="O5" s="6">
        <v>4</v>
      </c>
      <c r="P5" s="6">
        <v>4</v>
      </c>
      <c r="Q5" s="6">
        <v>3</v>
      </c>
      <c r="R5" s="6">
        <v>3</v>
      </c>
      <c r="S5" s="6">
        <v>4</v>
      </c>
      <c r="T5" s="6">
        <v>4</v>
      </c>
      <c r="U5" s="6">
        <v>3</v>
      </c>
      <c r="V5" s="6">
        <v>3</v>
      </c>
      <c r="W5" s="6">
        <v>3</v>
      </c>
      <c r="X5" s="6">
        <v>3</v>
      </c>
      <c r="Y5" s="6">
        <v>3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10">
        <v>3.625</v>
      </c>
      <c r="AM5" s="10">
        <v>4</v>
      </c>
      <c r="AN5" s="10">
        <v>4</v>
      </c>
      <c r="AO5" s="10">
        <v>3.5</v>
      </c>
      <c r="AP5" s="10">
        <v>3.5</v>
      </c>
      <c r="AQ5" s="10">
        <v>3.5</v>
      </c>
      <c r="AR5" s="10">
        <v>3</v>
      </c>
      <c r="AS5" s="10"/>
      <c r="AT5" s="10"/>
      <c r="AU5" s="10"/>
      <c r="AV5" s="10"/>
      <c r="AW5" s="10"/>
      <c r="AX5" s="10"/>
      <c r="AY5" s="6"/>
      <c r="AZ5" s="6">
        <v>1</v>
      </c>
      <c r="BA5" s="6"/>
    </row>
    <row r="6" spans="1:53" x14ac:dyDescent="0.45">
      <c r="A6" s="6" t="s">
        <v>120</v>
      </c>
      <c r="B6" s="6">
        <v>1</v>
      </c>
      <c r="C6" s="6">
        <v>2</v>
      </c>
      <c r="D6" s="6">
        <v>1</v>
      </c>
      <c r="E6" s="6">
        <v>48</v>
      </c>
      <c r="F6" s="6">
        <v>9</v>
      </c>
      <c r="G6" s="6">
        <v>1</v>
      </c>
      <c r="H6" s="6"/>
      <c r="I6" s="6">
        <v>3</v>
      </c>
      <c r="J6" s="6">
        <v>2</v>
      </c>
      <c r="K6" s="6"/>
      <c r="L6" s="6">
        <v>1</v>
      </c>
      <c r="M6" s="6">
        <v>1</v>
      </c>
      <c r="N6" s="6">
        <v>3</v>
      </c>
      <c r="O6" s="6">
        <v>4</v>
      </c>
      <c r="P6" s="6">
        <v>3</v>
      </c>
      <c r="Q6" s="6">
        <v>4</v>
      </c>
      <c r="R6" s="6">
        <v>4</v>
      </c>
      <c r="S6" s="6">
        <v>4</v>
      </c>
      <c r="T6" s="6">
        <v>4</v>
      </c>
      <c r="U6" s="6">
        <v>4</v>
      </c>
      <c r="V6" s="6">
        <v>3</v>
      </c>
      <c r="W6" s="6">
        <v>3</v>
      </c>
      <c r="X6" s="6">
        <v>3</v>
      </c>
      <c r="Y6" s="6">
        <v>3</v>
      </c>
      <c r="Z6" s="6">
        <v>3</v>
      </c>
      <c r="AA6" s="6">
        <v>3</v>
      </c>
      <c r="AB6" s="6">
        <v>4</v>
      </c>
      <c r="AC6" s="6">
        <v>4</v>
      </c>
      <c r="AD6" s="6">
        <v>4</v>
      </c>
      <c r="AE6" s="6">
        <v>3</v>
      </c>
      <c r="AF6" s="6">
        <v>4</v>
      </c>
      <c r="AG6" s="6">
        <v>4</v>
      </c>
      <c r="AH6" s="6">
        <v>4</v>
      </c>
      <c r="AI6" s="6">
        <v>4</v>
      </c>
      <c r="AJ6" s="6">
        <v>4</v>
      </c>
      <c r="AK6" s="6">
        <v>4</v>
      </c>
      <c r="AL6" s="10">
        <v>3.75</v>
      </c>
      <c r="AM6" s="10">
        <v>3</v>
      </c>
      <c r="AN6" s="10">
        <v>4</v>
      </c>
      <c r="AO6" s="10">
        <v>3.5</v>
      </c>
      <c r="AP6" s="10">
        <v>4</v>
      </c>
      <c r="AQ6" s="10">
        <v>4</v>
      </c>
      <c r="AR6" s="10">
        <v>3</v>
      </c>
      <c r="AS6" s="10">
        <v>3</v>
      </c>
      <c r="AT6" s="10">
        <v>4</v>
      </c>
      <c r="AU6" s="10">
        <v>3.5</v>
      </c>
      <c r="AV6" s="10">
        <v>4</v>
      </c>
      <c r="AW6" s="10">
        <v>3.625</v>
      </c>
      <c r="AX6" s="10">
        <v>4</v>
      </c>
      <c r="AY6" s="6">
        <v>0</v>
      </c>
      <c r="AZ6" s="6">
        <v>1</v>
      </c>
      <c r="BA6" s="6"/>
    </row>
    <row r="7" spans="1:53" x14ac:dyDescent="0.45">
      <c r="A7" s="6" t="s">
        <v>123</v>
      </c>
      <c r="B7" s="6">
        <v>1</v>
      </c>
      <c r="C7" s="6">
        <v>1</v>
      </c>
      <c r="D7" s="6">
        <v>1</v>
      </c>
      <c r="E7" s="6">
        <v>50</v>
      </c>
      <c r="F7" s="6">
        <v>25</v>
      </c>
      <c r="G7" s="6">
        <v>2</v>
      </c>
      <c r="H7" s="6"/>
      <c r="I7" s="6">
        <v>4</v>
      </c>
      <c r="J7" s="6">
        <v>2</v>
      </c>
      <c r="K7" s="6"/>
      <c r="L7" s="6">
        <v>1</v>
      </c>
      <c r="M7" s="6">
        <v>2</v>
      </c>
      <c r="N7" s="6">
        <v>3</v>
      </c>
      <c r="O7" s="6">
        <v>3</v>
      </c>
      <c r="P7" s="6">
        <v>4</v>
      </c>
      <c r="Q7" s="6">
        <v>4</v>
      </c>
      <c r="R7" s="6">
        <v>4</v>
      </c>
      <c r="S7" s="6">
        <v>4</v>
      </c>
      <c r="T7" s="6">
        <v>4</v>
      </c>
      <c r="U7" s="6">
        <v>4</v>
      </c>
      <c r="V7" s="6">
        <v>5</v>
      </c>
      <c r="W7" s="6">
        <v>5</v>
      </c>
      <c r="X7" s="6">
        <v>5</v>
      </c>
      <c r="Y7" s="6">
        <v>4</v>
      </c>
      <c r="Z7" s="6">
        <v>4</v>
      </c>
      <c r="AA7" s="6">
        <v>4</v>
      </c>
      <c r="AB7" s="6">
        <v>4</v>
      </c>
      <c r="AC7" s="6">
        <v>4</v>
      </c>
      <c r="AD7" s="6">
        <v>4</v>
      </c>
      <c r="AE7" s="6">
        <v>4</v>
      </c>
      <c r="AF7" s="6">
        <v>4</v>
      </c>
      <c r="AG7" s="6">
        <v>4</v>
      </c>
      <c r="AH7" s="6">
        <v>4</v>
      </c>
      <c r="AI7" s="6">
        <v>4</v>
      </c>
      <c r="AJ7" s="6">
        <v>4</v>
      </c>
      <c r="AK7" s="6">
        <v>4</v>
      </c>
      <c r="AL7" s="10">
        <v>3.75</v>
      </c>
      <c r="AM7" s="10">
        <v>3</v>
      </c>
      <c r="AN7" s="10">
        <v>3</v>
      </c>
      <c r="AO7" s="10">
        <v>4</v>
      </c>
      <c r="AP7" s="10">
        <v>4</v>
      </c>
      <c r="AQ7" s="10">
        <v>4</v>
      </c>
      <c r="AR7" s="10">
        <v>4.75</v>
      </c>
      <c r="AS7" s="10">
        <v>4</v>
      </c>
      <c r="AT7" s="10">
        <v>4</v>
      </c>
      <c r="AU7" s="10">
        <v>4</v>
      </c>
      <c r="AV7" s="10">
        <v>4</v>
      </c>
      <c r="AW7" s="10">
        <v>4</v>
      </c>
      <c r="AX7" s="10">
        <v>4</v>
      </c>
      <c r="AY7" s="6">
        <v>0</v>
      </c>
      <c r="AZ7" s="6">
        <v>1</v>
      </c>
      <c r="BA7" s="6"/>
    </row>
    <row r="8" spans="1:53" x14ac:dyDescent="0.45">
      <c r="A8" s="6" t="s">
        <v>126</v>
      </c>
      <c r="B8" s="6">
        <v>0</v>
      </c>
      <c r="C8" s="6">
        <v>1</v>
      </c>
      <c r="D8" s="6">
        <v>1</v>
      </c>
      <c r="E8" s="6">
        <v>51</v>
      </c>
      <c r="F8" s="6">
        <v>26</v>
      </c>
      <c r="G8" s="6">
        <v>2</v>
      </c>
      <c r="H8" s="6"/>
      <c r="I8" s="6">
        <v>4</v>
      </c>
      <c r="J8" s="6">
        <v>2</v>
      </c>
      <c r="K8" s="6"/>
      <c r="L8" s="6">
        <v>2</v>
      </c>
      <c r="M8" s="6">
        <v>1</v>
      </c>
      <c r="N8" s="6">
        <v>4</v>
      </c>
      <c r="O8" s="6">
        <v>4</v>
      </c>
      <c r="P8" s="6">
        <v>4</v>
      </c>
      <c r="Q8" s="6">
        <v>4</v>
      </c>
      <c r="R8" s="6">
        <v>3</v>
      </c>
      <c r="S8" s="6">
        <v>4</v>
      </c>
      <c r="T8" s="6">
        <v>4</v>
      </c>
      <c r="U8" s="6">
        <v>4</v>
      </c>
      <c r="V8" s="6">
        <v>4</v>
      </c>
      <c r="W8" s="6">
        <v>4</v>
      </c>
      <c r="X8" s="6">
        <v>4</v>
      </c>
      <c r="Y8" s="6">
        <v>4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10">
        <v>3.875</v>
      </c>
      <c r="AM8" s="10">
        <v>4</v>
      </c>
      <c r="AN8" s="10">
        <v>4</v>
      </c>
      <c r="AO8" s="10">
        <v>4</v>
      </c>
      <c r="AP8" s="10">
        <v>3.5</v>
      </c>
      <c r="AQ8" s="10">
        <v>4</v>
      </c>
      <c r="AR8" s="10">
        <v>4</v>
      </c>
      <c r="AS8" s="10"/>
      <c r="AT8" s="10"/>
      <c r="AU8" s="10"/>
      <c r="AV8" s="10"/>
      <c r="AW8" s="10"/>
      <c r="AX8" s="10"/>
      <c r="AY8" s="6"/>
      <c r="AZ8" s="6">
        <v>1</v>
      </c>
      <c r="BA8" s="6"/>
    </row>
    <row r="9" spans="1:53" x14ac:dyDescent="0.45">
      <c r="A9" s="6" t="s">
        <v>127</v>
      </c>
      <c r="B9" s="6">
        <v>0</v>
      </c>
      <c r="C9" s="6">
        <v>1</v>
      </c>
      <c r="D9" s="6">
        <v>1</v>
      </c>
      <c r="E9" s="6">
        <v>43</v>
      </c>
      <c r="F9" s="6">
        <v>1</v>
      </c>
      <c r="G9" s="6">
        <v>3</v>
      </c>
      <c r="H9" s="6"/>
      <c r="I9" s="6">
        <v>2</v>
      </c>
      <c r="J9" s="6">
        <v>2</v>
      </c>
      <c r="K9" s="6"/>
      <c r="L9" s="6">
        <v>2</v>
      </c>
      <c r="M9" s="6">
        <v>1</v>
      </c>
      <c r="N9" s="6">
        <v>4</v>
      </c>
      <c r="O9" s="6">
        <v>3</v>
      </c>
      <c r="P9" s="6">
        <v>3</v>
      </c>
      <c r="Q9" s="6">
        <v>4</v>
      </c>
      <c r="R9" s="6">
        <v>3</v>
      </c>
      <c r="S9" s="6">
        <v>2</v>
      </c>
      <c r="T9" s="6">
        <v>3</v>
      </c>
      <c r="U9" s="6">
        <v>4</v>
      </c>
      <c r="V9" s="6">
        <v>3</v>
      </c>
      <c r="W9" s="6">
        <v>4</v>
      </c>
      <c r="X9" s="6">
        <v>4</v>
      </c>
      <c r="Y9" s="6">
        <v>3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10">
        <v>3.25</v>
      </c>
      <c r="AM9" s="10">
        <v>4</v>
      </c>
      <c r="AN9" s="10">
        <v>3</v>
      </c>
      <c r="AO9" s="10">
        <v>3.5</v>
      </c>
      <c r="AP9" s="10">
        <v>2.5</v>
      </c>
      <c r="AQ9" s="10">
        <v>3.5</v>
      </c>
      <c r="AR9" s="10">
        <v>3.5</v>
      </c>
      <c r="AS9" s="10"/>
      <c r="AT9" s="10"/>
      <c r="AU9" s="10"/>
      <c r="AV9" s="10"/>
      <c r="AW9" s="10"/>
      <c r="AX9" s="10"/>
      <c r="AY9" s="6"/>
      <c r="AZ9" s="6">
        <v>1</v>
      </c>
      <c r="BA9" s="6"/>
    </row>
    <row r="10" spans="1:53" x14ac:dyDescent="0.45">
      <c r="A10" s="6" t="s">
        <v>128</v>
      </c>
      <c r="B10" s="6">
        <v>1</v>
      </c>
      <c r="C10" s="6">
        <v>2</v>
      </c>
      <c r="D10" s="6">
        <v>1</v>
      </c>
      <c r="E10" s="6">
        <v>32</v>
      </c>
      <c r="F10" s="6">
        <v>2</v>
      </c>
      <c r="G10" s="6">
        <v>1</v>
      </c>
      <c r="H10" s="6"/>
      <c r="I10" s="6">
        <v>3</v>
      </c>
      <c r="J10" s="6">
        <v>3</v>
      </c>
      <c r="K10" s="6"/>
      <c r="L10" s="6">
        <v>2</v>
      </c>
      <c r="M10" s="6">
        <v>3</v>
      </c>
      <c r="N10" s="6">
        <v>5</v>
      </c>
      <c r="O10" s="6">
        <v>5</v>
      </c>
      <c r="P10" s="6">
        <v>5</v>
      </c>
      <c r="Q10" s="6">
        <v>5</v>
      </c>
      <c r="R10" s="6">
        <v>5</v>
      </c>
      <c r="S10" s="6">
        <v>5</v>
      </c>
      <c r="T10" s="6">
        <v>5</v>
      </c>
      <c r="U10" s="6">
        <v>5</v>
      </c>
      <c r="V10" s="6">
        <v>3</v>
      </c>
      <c r="W10" s="6">
        <v>3</v>
      </c>
      <c r="X10" s="6">
        <v>2</v>
      </c>
      <c r="Y10" s="6">
        <v>2</v>
      </c>
      <c r="Z10" s="6">
        <v>5</v>
      </c>
      <c r="AA10" s="6">
        <v>5</v>
      </c>
      <c r="AB10" s="6">
        <v>5</v>
      </c>
      <c r="AC10" s="6">
        <v>5</v>
      </c>
      <c r="AD10" s="6">
        <v>5</v>
      </c>
      <c r="AE10" s="6">
        <v>5</v>
      </c>
      <c r="AF10" s="6">
        <v>5</v>
      </c>
      <c r="AG10" s="6">
        <v>5</v>
      </c>
      <c r="AH10" s="6">
        <v>5</v>
      </c>
      <c r="AI10" s="6">
        <v>5</v>
      </c>
      <c r="AJ10" s="6">
        <v>5</v>
      </c>
      <c r="AK10" s="6">
        <v>5</v>
      </c>
      <c r="AL10" s="10">
        <v>5</v>
      </c>
      <c r="AM10" s="10">
        <v>5</v>
      </c>
      <c r="AN10" s="10">
        <v>5</v>
      </c>
      <c r="AO10" s="10">
        <v>5</v>
      </c>
      <c r="AP10" s="10">
        <v>5</v>
      </c>
      <c r="AQ10" s="10">
        <v>5</v>
      </c>
      <c r="AR10" s="10">
        <v>2.5</v>
      </c>
      <c r="AS10" s="10">
        <v>5</v>
      </c>
      <c r="AT10" s="10">
        <v>5</v>
      </c>
      <c r="AU10" s="10">
        <v>5</v>
      </c>
      <c r="AV10" s="10">
        <v>5</v>
      </c>
      <c r="AW10" s="10">
        <v>5</v>
      </c>
      <c r="AX10" s="10">
        <v>5</v>
      </c>
      <c r="AY10" s="6">
        <v>0</v>
      </c>
      <c r="AZ10" s="6">
        <v>1</v>
      </c>
      <c r="BA10" s="6"/>
    </row>
    <row r="11" spans="1:53" x14ac:dyDescent="0.45">
      <c r="A11" s="6" t="s">
        <v>130</v>
      </c>
      <c r="B11" s="6">
        <v>1</v>
      </c>
      <c r="C11" s="6">
        <v>2</v>
      </c>
      <c r="D11" s="6">
        <v>1</v>
      </c>
      <c r="E11" s="6">
        <v>32</v>
      </c>
      <c r="F11" s="6">
        <v>5</v>
      </c>
      <c r="G11" s="6">
        <v>1</v>
      </c>
      <c r="H11" s="6"/>
      <c r="I11" s="6">
        <v>2</v>
      </c>
      <c r="J11" s="6">
        <v>4</v>
      </c>
      <c r="K11" s="6"/>
      <c r="L11" s="6">
        <v>3</v>
      </c>
      <c r="M11" s="6">
        <v>2</v>
      </c>
      <c r="N11" s="6">
        <v>2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4</v>
      </c>
      <c r="U11" s="6">
        <v>3</v>
      </c>
      <c r="V11" s="6">
        <v>4</v>
      </c>
      <c r="W11" s="6">
        <v>4</v>
      </c>
      <c r="X11" s="6">
        <v>4</v>
      </c>
      <c r="Y11" s="6">
        <v>4</v>
      </c>
      <c r="Z11" s="6">
        <v>4</v>
      </c>
      <c r="AA11" s="6">
        <v>3</v>
      </c>
      <c r="AB11" s="6">
        <v>3</v>
      </c>
      <c r="AC11" s="6">
        <v>3</v>
      </c>
      <c r="AD11" s="6">
        <v>2</v>
      </c>
      <c r="AE11" s="6">
        <v>2</v>
      </c>
      <c r="AF11" s="6">
        <v>4</v>
      </c>
      <c r="AG11" s="6">
        <v>3</v>
      </c>
      <c r="AH11" s="6">
        <v>3</v>
      </c>
      <c r="AI11" s="6">
        <v>3</v>
      </c>
      <c r="AJ11" s="6">
        <v>3</v>
      </c>
      <c r="AK11" s="6">
        <v>3</v>
      </c>
      <c r="AL11" s="10">
        <v>3</v>
      </c>
      <c r="AM11" s="10">
        <v>2</v>
      </c>
      <c r="AN11" s="10">
        <v>3</v>
      </c>
      <c r="AO11" s="10">
        <v>3</v>
      </c>
      <c r="AP11" s="10">
        <v>3</v>
      </c>
      <c r="AQ11" s="10">
        <v>3.5</v>
      </c>
      <c r="AR11" s="10">
        <v>4</v>
      </c>
      <c r="AS11" s="10">
        <v>3.5</v>
      </c>
      <c r="AT11" s="10">
        <v>3</v>
      </c>
      <c r="AU11" s="10">
        <v>2</v>
      </c>
      <c r="AV11" s="10">
        <v>3.5</v>
      </c>
      <c r="AW11" s="10">
        <v>3</v>
      </c>
      <c r="AX11" s="10">
        <v>3</v>
      </c>
      <c r="AY11" s="6">
        <v>1</v>
      </c>
      <c r="AZ11" s="6">
        <v>1</v>
      </c>
      <c r="BA11" s="6"/>
    </row>
    <row r="12" spans="1:53" x14ac:dyDescent="0.45">
      <c r="A12" s="6" t="s">
        <v>132</v>
      </c>
      <c r="B12" s="6">
        <v>1</v>
      </c>
      <c r="C12" s="6">
        <v>2</v>
      </c>
      <c r="D12" s="6">
        <v>1</v>
      </c>
      <c r="E12" s="6">
        <v>49</v>
      </c>
      <c r="F12" s="6">
        <v>1</v>
      </c>
      <c r="G12" s="6">
        <v>1</v>
      </c>
      <c r="H12" s="6"/>
      <c r="I12" s="6">
        <v>3</v>
      </c>
      <c r="J12" s="6">
        <v>2</v>
      </c>
      <c r="K12" s="6"/>
      <c r="L12" s="6">
        <v>2</v>
      </c>
      <c r="M12" s="6">
        <v>2</v>
      </c>
      <c r="N12" s="6">
        <v>2</v>
      </c>
      <c r="O12" s="6">
        <v>3</v>
      </c>
      <c r="P12" s="6">
        <v>3</v>
      </c>
      <c r="Q12" s="6">
        <v>2</v>
      </c>
      <c r="R12" s="6">
        <v>5</v>
      </c>
      <c r="S12" s="6">
        <v>2</v>
      </c>
      <c r="T12" s="6">
        <v>3</v>
      </c>
      <c r="U12" s="6">
        <v>3</v>
      </c>
      <c r="V12" s="6">
        <v>2</v>
      </c>
      <c r="W12" s="6">
        <v>2</v>
      </c>
      <c r="X12" s="6">
        <v>2</v>
      </c>
      <c r="Y12" s="6">
        <v>2</v>
      </c>
      <c r="Z12" s="6">
        <v>4</v>
      </c>
      <c r="AA12" s="6">
        <v>4</v>
      </c>
      <c r="AB12" s="6">
        <v>4</v>
      </c>
      <c r="AC12" s="6">
        <v>4</v>
      </c>
      <c r="AD12" s="6">
        <v>3</v>
      </c>
      <c r="AE12" s="6">
        <v>3</v>
      </c>
      <c r="AF12" s="6">
        <v>4</v>
      </c>
      <c r="AG12" s="6">
        <v>4</v>
      </c>
      <c r="AH12" s="6">
        <v>3</v>
      </c>
      <c r="AI12" s="6">
        <v>3</v>
      </c>
      <c r="AJ12" s="6">
        <v>2</v>
      </c>
      <c r="AK12" s="6">
        <v>2</v>
      </c>
      <c r="AL12" s="10">
        <v>2.875</v>
      </c>
      <c r="AM12" s="10">
        <v>2</v>
      </c>
      <c r="AN12" s="10">
        <v>3</v>
      </c>
      <c r="AO12" s="10">
        <v>2.5</v>
      </c>
      <c r="AP12" s="10">
        <v>3.5</v>
      </c>
      <c r="AQ12" s="10">
        <v>3</v>
      </c>
      <c r="AR12" s="10">
        <v>2</v>
      </c>
      <c r="AS12" s="10">
        <v>4</v>
      </c>
      <c r="AT12" s="10">
        <v>4</v>
      </c>
      <c r="AU12" s="10">
        <v>3</v>
      </c>
      <c r="AV12" s="10">
        <v>4</v>
      </c>
      <c r="AW12" s="10">
        <v>3.75</v>
      </c>
      <c r="AX12" s="10">
        <v>2.5</v>
      </c>
      <c r="AY12" s="6">
        <v>0</v>
      </c>
      <c r="AZ12" s="6">
        <v>1</v>
      </c>
      <c r="BA12" s="6"/>
    </row>
    <row r="13" spans="1:53" x14ac:dyDescent="0.45">
      <c r="A13" s="6" t="s">
        <v>133</v>
      </c>
      <c r="B13" s="6">
        <v>1</v>
      </c>
      <c r="C13" s="6">
        <v>2</v>
      </c>
      <c r="D13" s="6">
        <v>1</v>
      </c>
      <c r="E13" s="6">
        <v>30</v>
      </c>
      <c r="F13" s="6">
        <v>3</v>
      </c>
      <c r="G13" s="6">
        <v>1</v>
      </c>
      <c r="H13" s="6"/>
      <c r="I13" s="6">
        <v>2</v>
      </c>
      <c r="J13" s="6">
        <v>4</v>
      </c>
      <c r="K13" s="6"/>
      <c r="L13" s="6">
        <v>2</v>
      </c>
      <c r="M13" s="6">
        <v>2</v>
      </c>
      <c r="N13" s="6">
        <v>4</v>
      </c>
      <c r="O13" s="6">
        <v>5</v>
      </c>
      <c r="P13" s="6">
        <v>3</v>
      </c>
      <c r="Q13" s="6">
        <v>4</v>
      </c>
      <c r="R13" s="6">
        <v>4</v>
      </c>
      <c r="S13" s="6">
        <v>3</v>
      </c>
      <c r="T13" s="6">
        <v>4</v>
      </c>
      <c r="U13" s="6">
        <v>4</v>
      </c>
      <c r="V13" s="6">
        <v>2</v>
      </c>
      <c r="W13" s="6">
        <v>2</v>
      </c>
      <c r="X13" s="6">
        <v>3</v>
      </c>
      <c r="Y13" s="6">
        <v>5</v>
      </c>
      <c r="Z13" s="6">
        <v>5</v>
      </c>
      <c r="AA13" s="6">
        <v>4</v>
      </c>
      <c r="AB13" s="6">
        <v>4</v>
      </c>
      <c r="AC13" s="6">
        <v>3</v>
      </c>
      <c r="AD13" s="6">
        <v>4</v>
      </c>
      <c r="AE13" s="6">
        <v>4</v>
      </c>
      <c r="AF13" s="6">
        <v>5</v>
      </c>
      <c r="AG13" s="6">
        <v>4</v>
      </c>
      <c r="AH13" s="6">
        <v>3</v>
      </c>
      <c r="AI13" s="6">
        <v>2</v>
      </c>
      <c r="AJ13" s="6">
        <v>2</v>
      </c>
      <c r="AK13" s="6">
        <v>2</v>
      </c>
      <c r="AL13" s="10">
        <v>3.875</v>
      </c>
      <c r="AM13" s="10">
        <v>4</v>
      </c>
      <c r="AN13" s="10">
        <v>5</v>
      </c>
      <c r="AO13" s="10">
        <v>3.5</v>
      </c>
      <c r="AP13" s="10">
        <v>3.5</v>
      </c>
      <c r="AQ13" s="10">
        <v>4</v>
      </c>
      <c r="AR13" s="10">
        <v>3</v>
      </c>
      <c r="AS13" s="10">
        <v>4.5</v>
      </c>
      <c r="AT13" s="10">
        <v>3.5</v>
      </c>
      <c r="AU13" s="10">
        <v>4</v>
      </c>
      <c r="AV13" s="10">
        <v>4.5</v>
      </c>
      <c r="AW13" s="10">
        <v>4.125</v>
      </c>
      <c r="AX13" s="10">
        <v>2.25</v>
      </c>
      <c r="AY13" s="6">
        <v>0</v>
      </c>
      <c r="AZ13" s="6">
        <v>1</v>
      </c>
      <c r="BA13" s="6"/>
    </row>
    <row r="14" spans="1:53" x14ac:dyDescent="0.45">
      <c r="A14" s="6" t="s">
        <v>134</v>
      </c>
      <c r="B14" s="6">
        <v>1</v>
      </c>
      <c r="C14" s="6">
        <v>1</v>
      </c>
      <c r="D14" s="6">
        <v>1</v>
      </c>
      <c r="E14" s="6">
        <v>65</v>
      </c>
      <c r="F14" s="6">
        <v>12</v>
      </c>
      <c r="G14" s="6">
        <v>2</v>
      </c>
      <c r="H14" s="6"/>
      <c r="I14" s="6">
        <v>4</v>
      </c>
      <c r="J14" s="6">
        <v>2</v>
      </c>
      <c r="K14" s="6"/>
      <c r="L14" s="6">
        <v>4</v>
      </c>
      <c r="M14" s="6">
        <v>2</v>
      </c>
      <c r="N14" s="6">
        <v>3</v>
      </c>
      <c r="O14" s="6">
        <v>5</v>
      </c>
      <c r="P14" s="6">
        <v>5</v>
      </c>
      <c r="Q14" s="6">
        <v>5</v>
      </c>
      <c r="R14" s="6">
        <v>5</v>
      </c>
      <c r="S14" s="6">
        <v>5</v>
      </c>
      <c r="T14" s="6">
        <v>5</v>
      </c>
      <c r="U14" s="6">
        <v>5</v>
      </c>
      <c r="V14" s="6">
        <v>5</v>
      </c>
      <c r="W14" s="6">
        <v>5</v>
      </c>
      <c r="X14" s="6">
        <v>5</v>
      </c>
      <c r="Y14" s="6">
        <v>5</v>
      </c>
      <c r="Z14" s="6">
        <v>5</v>
      </c>
      <c r="AA14" s="6">
        <v>5</v>
      </c>
      <c r="AB14" s="6">
        <v>5</v>
      </c>
      <c r="AC14" s="6">
        <v>5</v>
      </c>
      <c r="AD14" s="6">
        <v>5</v>
      </c>
      <c r="AE14" s="6">
        <v>5</v>
      </c>
      <c r="AF14" s="6">
        <v>5</v>
      </c>
      <c r="AG14" s="6">
        <v>5</v>
      </c>
      <c r="AH14" s="6">
        <v>5</v>
      </c>
      <c r="AI14" s="6">
        <v>5</v>
      </c>
      <c r="AJ14" s="6">
        <v>5</v>
      </c>
      <c r="AK14" s="6">
        <v>5</v>
      </c>
      <c r="AL14" s="10">
        <v>4.75</v>
      </c>
      <c r="AM14" s="10">
        <v>3</v>
      </c>
      <c r="AN14" s="10">
        <v>5</v>
      </c>
      <c r="AO14" s="10">
        <v>5</v>
      </c>
      <c r="AP14" s="10">
        <v>5</v>
      </c>
      <c r="AQ14" s="10">
        <v>5</v>
      </c>
      <c r="AR14" s="10">
        <v>5</v>
      </c>
      <c r="AS14" s="10">
        <v>5</v>
      </c>
      <c r="AT14" s="10">
        <v>5</v>
      </c>
      <c r="AU14" s="10">
        <v>5</v>
      </c>
      <c r="AV14" s="10">
        <v>5</v>
      </c>
      <c r="AW14" s="10">
        <v>5</v>
      </c>
      <c r="AX14" s="10">
        <v>5</v>
      </c>
      <c r="AY14" s="6">
        <v>0</v>
      </c>
      <c r="AZ14" s="6">
        <v>1</v>
      </c>
      <c r="BA14" s="6"/>
    </row>
    <row r="15" spans="1:53" x14ac:dyDescent="0.45">
      <c r="A15" s="6" t="s">
        <v>136</v>
      </c>
      <c r="B15" s="6">
        <v>1</v>
      </c>
      <c r="C15" s="6">
        <v>1</v>
      </c>
      <c r="D15" s="6">
        <v>1</v>
      </c>
      <c r="E15" s="6">
        <v>53</v>
      </c>
      <c r="F15" s="6">
        <v>28</v>
      </c>
      <c r="G15" s="6">
        <v>3</v>
      </c>
      <c r="H15" s="6"/>
      <c r="I15" s="6">
        <v>3</v>
      </c>
      <c r="J15" s="6">
        <v>3</v>
      </c>
      <c r="K15" s="6"/>
      <c r="L15" s="6">
        <v>1</v>
      </c>
      <c r="M15" s="6">
        <v>1</v>
      </c>
      <c r="N15" s="6">
        <v>5</v>
      </c>
      <c r="O15" s="6">
        <v>5</v>
      </c>
      <c r="P15" s="6">
        <v>5</v>
      </c>
      <c r="Q15" s="6">
        <v>4</v>
      </c>
      <c r="R15" s="6">
        <v>4</v>
      </c>
      <c r="S15" s="6">
        <v>4</v>
      </c>
      <c r="T15" s="6">
        <v>5</v>
      </c>
      <c r="U15" s="6">
        <v>4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2</v>
      </c>
      <c r="AB15" s="6">
        <v>4</v>
      </c>
      <c r="AC15" s="6">
        <v>2</v>
      </c>
      <c r="AD15" s="6">
        <v>3</v>
      </c>
      <c r="AE15" s="6">
        <v>3</v>
      </c>
      <c r="AF15" s="6">
        <v>4</v>
      </c>
      <c r="AG15" s="6">
        <v>3</v>
      </c>
      <c r="AH15" s="6">
        <v>4</v>
      </c>
      <c r="AI15" s="6">
        <v>4</v>
      </c>
      <c r="AJ15" s="6">
        <v>2</v>
      </c>
      <c r="AK15" s="6">
        <v>4</v>
      </c>
      <c r="AL15" s="10">
        <v>4.5</v>
      </c>
      <c r="AM15" s="10">
        <v>5</v>
      </c>
      <c r="AN15" s="10">
        <v>5</v>
      </c>
      <c r="AO15" s="10">
        <v>4.5</v>
      </c>
      <c r="AP15" s="10">
        <v>4</v>
      </c>
      <c r="AQ15" s="10">
        <v>4.5</v>
      </c>
      <c r="AR15" s="10">
        <v>4</v>
      </c>
      <c r="AS15" s="10">
        <v>3</v>
      </c>
      <c r="AT15" s="10">
        <v>3</v>
      </c>
      <c r="AU15" s="10">
        <v>3</v>
      </c>
      <c r="AV15" s="10">
        <v>3.5</v>
      </c>
      <c r="AW15" s="10">
        <v>3.125</v>
      </c>
      <c r="AX15" s="10">
        <v>3.5</v>
      </c>
      <c r="AY15" s="6">
        <v>0</v>
      </c>
      <c r="AZ15" s="6">
        <v>1</v>
      </c>
      <c r="BA15" s="6"/>
    </row>
    <row r="16" spans="1:53" x14ac:dyDescent="0.45">
      <c r="A16" s="6" t="s">
        <v>137</v>
      </c>
      <c r="B16" s="6">
        <v>1</v>
      </c>
      <c r="C16" s="6">
        <v>1</v>
      </c>
      <c r="D16" s="6">
        <v>1</v>
      </c>
      <c r="E16" s="6">
        <v>53</v>
      </c>
      <c r="F16" s="6">
        <v>23</v>
      </c>
      <c r="G16" s="6">
        <v>3</v>
      </c>
      <c r="H16" s="6"/>
      <c r="I16" s="6">
        <v>3</v>
      </c>
      <c r="J16" s="6">
        <v>2</v>
      </c>
      <c r="K16" s="6"/>
      <c r="L16" s="6">
        <v>2</v>
      </c>
      <c r="M16" s="6">
        <v>2</v>
      </c>
      <c r="N16" s="6">
        <v>4</v>
      </c>
      <c r="O16" s="6">
        <v>4</v>
      </c>
      <c r="P16" s="6">
        <v>4</v>
      </c>
      <c r="Q16" s="6">
        <v>3</v>
      </c>
      <c r="R16" s="6">
        <v>3</v>
      </c>
      <c r="S16" s="6">
        <v>4</v>
      </c>
      <c r="T16" s="6">
        <v>4</v>
      </c>
      <c r="U16" s="6">
        <v>4</v>
      </c>
      <c r="V16" s="6">
        <v>3</v>
      </c>
      <c r="W16" s="6">
        <v>3</v>
      </c>
      <c r="X16" s="6">
        <v>5</v>
      </c>
      <c r="Y16" s="6">
        <v>4</v>
      </c>
      <c r="Z16" s="6">
        <v>3</v>
      </c>
      <c r="AA16" s="6">
        <v>3</v>
      </c>
      <c r="AB16" s="6">
        <v>3</v>
      </c>
      <c r="AC16" s="6">
        <v>3</v>
      </c>
      <c r="AD16" s="6">
        <v>3</v>
      </c>
      <c r="AE16" s="6">
        <v>3</v>
      </c>
      <c r="AF16" s="6">
        <v>4</v>
      </c>
      <c r="AG16" s="6">
        <v>4</v>
      </c>
      <c r="AH16" s="6">
        <v>3</v>
      </c>
      <c r="AI16" s="6">
        <v>3</v>
      </c>
      <c r="AJ16" s="6">
        <v>4</v>
      </c>
      <c r="AK16" s="6">
        <v>4</v>
      </c>
      <c r="AL16" s="10">
        <v>3.75</v>
      </c>
      <c r="AM16" s="10">
        <v>4</v>
      </c>
      <c r="AN16" s="10">
        <v>4</v>
      </c>
      <c r="AO16" s="10">
        <v>3.5</v>
      </c>
      <c r="AP16" s="10">
        <v>3.5</v>
      </c>
      <c r="AQ16" s="10">
        <v>4</v>
      </c>
      <c r="AR16" s="10">
        <v>3.75</v>
      </c>
      <c r="AS16" s="10">
        <v>3</v>
      </c>
      <c r="AT16" s="10">
        <v>3</v>
      </c>
      <c r="AU16" s="10">
        <v>3</v>
      </c>
      <c r="AV16" s="10">
        <v>4</v>
      </c>
      <c r="AW16" s="10">
        <v>3.25</v>
      </c>
      <c r="AX16" s="10">
        <v>3.5</v>
      </c>
      <c r="AY16" s="6">
        <v>0</v>
      </c>
      <c r="AZ16" s="6">
        <v>1</v>
      </c>
      <c r="BA16" s="6"/>
    </row>
    <row r="17" spans="1:53" x14ac:dyDescent="0.45">
      <c r="A17" s="6" t="s">
        <v>138</v>
      </c>
      <c r="B17" s="6">
        <v>0</v>
      </c>
      <c r="C17" s="6">
        <v>1</v>
      </c>
      <c r="D17" s="6">
        <v>1</v>
      </c>
      <c r="E17" s="6">
        <v>52</v>
      </c>
      <c r="F17" s="6">
        <v>25</v>
      </c>
      <c r="G17" s="6">
        <v>3</v>
      </c>
      <c r="H17" s="6"/>
      <c r="I17" s="6">
        <v>3</v>
      </c>
      <c r="J17" s="6">
        <v>3</v>
      </c>
      <c r="K17" s="6"/>
      <c r="L17" s="6">
        <v>2</v>
      </c>
      <c r="M17" s="6">
        <v>1</v>
      </c>
      <c r="N17" s="6">
        <v>4</v>
      </c>
      <c r="O17" s="6">
        <v>4</v>
      </c>
      <c r="P17" s="6">
        <v>3</v>
      </c>
      <c r="Q17" s="6">
        <v>4</v>
      </c>
      <c r="R17" s="6">
        <v>4</v>
      </c>
      <c r="S17" s="6">
        <v>4</v>
      </c>
      <c r="T17" s="6">
        <v>4</v>
      </c>
      <c r="U17" s="6">
        <v>4</v>
      </c>
      <c r="V17" s="6">
        <v>2</v>
      </c>
      <c r="W17" s="6">
        <v>2</v>
      </c>
      <c r="X17" s="6">
        <v>4</v>
      </c>
      <c r="Y17" s="6">
        <v>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10">
        <v>3.875</v>
      </c>
      <c r="AM17" s="10">
        <v>4</v>
      </c>
      <c r="AN17" s="10">
        <v>4</v>
      </c>
      <c r="AO17" s="10">
        <v>3.5</v>
      </c>
      <c r="AP17" s="10">
        <v>4</v>
      </c>
      <c r="AQ17" s="10">
        <v>4</v>
      </c>
      <c r="AR17" s="10">
        <v>2.25</v>
      </c>
      <c r="AS17" s="10"/>
      <c r="AT17" s="10"/>
      <c r="AU17" s="10"/>
      <c r="AV17" s="10"/>
      <c r="AW17" s="10"/>
      <c r="AX17" s="10"/>
      <c r="AY17" s="6"/>
      <c r="AZ17" s="6">
        <v>1</v>
      </c>
      <c r="BA17" s="6"/>
    </row>
    <row r="18" spans="1:53" x14ac:dyDescent="0.45">
      <c r="A18" s="6" t="s">
        <v>140</v>
      </c>
      <c r="B18" s="6">
        <v>1</v>
      </c>
      <c r="C18" s="6">
        <v>2</v>
      </c>
      <c r="D18" s="6">
        <v>1</v>
      </c>
      <c r="E18" s="6">
        <v>54</v>
      </c>
      <c r="F18" s="6">
        <v>20</v>
      </c>
      <c r="G18" s="6">
        <v>1</v>
      </c>
      <c r="H18" s="6"/>
      <c r="I18" s="6">
        <v>4</v>
      </c>
      <c r="J18" s="6">
        <v>4</v>
      </c>
      <c r="K18" s="6"/>
      <c r="L18" s="6">
        <v>3</v>
      </c>
      <c r="M18" s="6">
        <v>2</v>
      </c>
      <c r="N18" s="6">
        <v>3</v>
      </c>
      <c r="O18" s="6">
        <v>4</v>
      </c>
      <c r="P18" s="6">
        <v>4</v>
      </c>
      <c r="Q18" s="6">
        <v>4</v>
      </c>
      <c r="R18" s="6">
        <v>4</v>
      </c>
      <c r="S18" s="6">
        <v>4</v>
      </c>
      <c r="T18" s="6">
        <v>4</v>
      </c>
      <c r="U18" s="6">
        <v>4</v>
      </c>
      <c r="V18" s="6">
        <v>2</v>
      </c>
      <c r="W18" s="6">
        <v>2</v>
      </c>
      <c r="X18" s="6">
        <v>2</v>
      </c>
      <c r="Y18" s="6">
        <v>2</v>
      </c>
      <c r="Z18" s="6">
        <v>3</v>
      </c>
      <c r="AA18" s="6">
        <v>4</v>
      </c>
      <c r="AB18" s="6">
        <v>4</v>
      </c>
      <c r="AC18" s="6">
        <v>4</v>
      </c>
      <c r="AD18" s="6">
        <v>3</v>
      </c>
      <c r="AE18" s="6">
        <v>3</v>
      </c>
      <c r="AF18" s="6">
        <v>4</v>
      </c>
      <c r="AG18" s="6">
        <v>3</v>
      </c>
      <c r="AH18" s="6">
        <v>4</v>
      </c>
      <c r="AI18" s="6">
        <v>4</v>
      </c>
      <c r="AJ18" s="6">
        <v>4</v>
      </c>
      <c r="AK18" s="6">
        <v>4</v>
      </c>
      <c r="AL18" s="10">
        <v>3.875</v>
      </c>
      <c r="AM18" s="10">
        <v>3</v>
      </c>
      <c r="AN18" s="10">
        <v>4</v>
      </c>
      <c r="AO18" s="10">
        <v>4</v>
      </c>
      <c r="AP18" s="10">
        <v>4</v>
      </c>
      <c r="AQ18" s="10">
        <v>4</v>
      </c>
      <c r="AR18" s="10">
        <v>2</v>
      </c>
      <c r="AS18" s="10">
        <v>3.5</v>
      </c>
      <c r="AT18" s="10">
        <v>4</v>
      </c>
      <c r="AU18" s="10">
        <v>3</v>
      </c>
      <c r="AV18" s="10">
        <v>3.5</v>
      </c>
      <c r="AW18" s="10">
        <v>3.5</v>
      </c>
      <c r="AX18" s="10">
        <v>4</v>
      </c>
      <c r="AY18" s="6">
        <v>1</v>
      </c>
      <c r="AZ18" s="6">
        <v>1</v>
      </c>
      <c r="BA18" s="6"/>
    </row>
    <row r="19" spans="1:53" x14ac:dyDescent="0.45">
      <c r="A19" s="6" t="s">
        <v>141</v>
      </c>
      <c r="B19" s="6">
        <v>0</v>
      </c>
      <c r="C19" s="6">
        <v>1</v>
      </c>
      <c r="D19" s="6">
        <v>1</v>
      </c>
      <c r="E19" s="6">
        <v>28</v>
      </c>
      <c r="F19" s="6">
        <v>3</v>
      </c>
      <c r="G19" s="6">
        <v>2</v>
      </c>
      <c r="H19" s="6"/>
      <c r="I19" s="6">
        <v>4</v>
      </c>
      <c r="J19" s="6">
        <v>2</v>
      </c>
      <c r="K19" s="6"/>
      <c r="L19" s="6">
        <v>2</v>
      </c>
      <c r="M19" s="6">
        <v>2</v>
      </c>
      <c r="N19" s="6">
        <v>3</v>
      </c>
      <c r="O19" s="6">
        <v>3</v>
      </c>
      <c r="P19" s="6">
        <v>2</v>
      </c>
      <c r="Q19" s="6">
        <v>2</v>
      </c>
      <c r="R19" s="6">
        <v>2</v>
      </c>
      <c r="S19" s="6">
        <v>1</v>
      </c>
      <c r="T19" s="6">
        <v>2</v>
      </c>
      <c r="U19" s="6">
        <v>4</v>
      </c>
      <c r="V19" s="6">
        <v>1</v>
      </c>
      <c r="W19" s="6">
        <v>1</v>
      </c>
      <c r="X19" s="6">
        <v>1</v>
      </c>
      <c r="Y19" s="6">
        <v>1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10">
        <v>2.375</v>
      </c>
      <c r="AM19" s="10">
        <v>3</v>
      </c>
      <c r="AN19" s="10">
        <v>3</v>
      </c>
      <c r="AO19" s="10">
        <v>2</v>
      </c>
      <c r="AP19" s="10">
        <v>1.5</v>
      </c>
      <c r="AQ19" s="10">
        <v>3</v>
      </c>
      <c r="AR19" s="10">
        <v>1</v>
      </c>
      <c r="AS19" s="10"/>
      <c r="AT19" s="10"/>
      <c r="AU19" s="10"/>
      <c r="AV19" s="10"/>
      <c r="AW19" s="10"/>
      <c r="AX19" s="10"/>
      <c r="AY19" s="6"/>
      <c r="AZ19" s="6">
        <v>1</v>
      </c>
      <c r="BA19" s="6"/>
    </row>
    <row r="20" spans="1:53" x14ac:dyDescent="0.45">
      <c r="A20" s="6" t="s">
        <v>142</v>
      </c>
      <c r="B20" s="6">
        <v>1</v>
      </c>
      <c r="C20" s="6">
        <v>2</v>
      </c>
      <c r="D20" s="6">
        <v>1</v>
      </c>
      <c r="E20" s="6">
        <v>34</v>
      </c>
      <c r="F20" s="6">
        <v>2</v>
      </c>
      <c r="G20" s="6">
        <v>1</v>
      </c>
      <c r="H20" s="6"/>
      <c r="I20" s="6">
        <v>2</v>
      </c>
      <c r="J20" s="6">
        <v>2</v>
      </c>
      <c r="K20" s="6"/>
      <c r="L20" s="6">
        <v>1</v>
      </c>
      <c r="M20" s="6">
        <v>2</v>
      </c>
      <c r="N20" s="6">
        <v>3</v>
      </c>
      <c r="O20" s="6">
        <v>4</v>
      </c>
      <c r="P20" s="6">
        <v>4</v>
      </c>
      <c r="Q20" s="6">
        <v>4</v>
      </c>
      <c r="R20" s="6">
        <v>3</v>
      </c>
      <c r="S20" s="6">
        <v>3</v>
      </c>
      <c r="T20" s="6">
        <v>4</v>
      </c>
      <c r="U20" s="6">
        <v>4</v>
      </c>
      <c r="V20" s="6">
        <v>3</v>
      </c>
      <c r="W20" s="6">
        <v>3</v>
      </c>
      <c r="X20" s="6">
        <v>3</v>
      </c>
      <c r="Y20" s="6">
        <v>3</v>
      </c>
      <c r="Z20" s="6">
        <v>3</v>
      </c>
      <c r="AA20" s="6">
        <v>4</v>
      </c>
      <c r="AB20" s="6">
        <v>3</v>
      </c>
      <c r="AC20" s="6">
        <v>3</v>
      </c>
      <c r="AD20" s="6">
        <v>2</v>
      </c>
      <c r="AE20" s="6">
        <v>3</v>
      </c>
      <c r="AF20" s="6">
        <v>4</v>
      </c>
      <c r="AG20" s="6">
        <v>3</v>
      </c>
      <c r="AH20" s="6">
        <v>4</v>
      </c>
      <c r="AI20" s="6">
        <v>4</v>
      </c>
      <c r="AJ20" s="6">
        <v>4</v>
      </c>
      <c r="AK20" s="6">
        <v>3</v>
      </c>
      <c r="AL20" s="10">
        <v>3.625</v>
      </c>
      <c r="AM20" s="10">
        <v>3</v>
      </c>
      <c r="AN20" s="10">
        <v>4</v>
      </c>
      <c r="AO20" s="10">
        <v>4</v>
      </c>
      <c r="AP20" s="10">
        <v>3</v>
      </c>
      <c r="AQ20" s="10">
        <v>4</v>
      </c>
      <c r="AR20" s="10">
        <v>3</v>
      </c>
      <c r="AS20" s="10">
        <v>3.5</v>
      </c>
      <c r="AT20" s="10">
        <v>3</v>
      </c>
      <c r="AU20" s="10">
        <v>2.5</v>
      </c>
      <c r="AV20" s="10">
        <v>3.5</v>
      </c>
      <c r="AW20" s="10">
        <v>3.125</v>
      </c>
      <c r="AX20" s="10">
        <v>3.75</v>
      </c>
      <c r="AY20" s="6">
        <v>0</v>
      </c>
      <c r="AZ20" s="6">
        <v>1</v>
      </c>
      <c r="BA20" s="6"/>
    </row>
    <row r="21" spans="1:53" x14ac:dyDescent="0.45">
      <c r="A21" s="6" t="s">
        <v>143</v>
      </c>
      <c r="B21" s="6">
        <v>0</v>
      </c>
      <c r="C21" s="6">
        <v>1</v>
      </c>
      <c r="D21" s="6">
        <v>1</v>
      </c>
      <c r="E21" s="6">
        <v>65</v>
      </c>
      <c r="F21" s="6">
        <v>45</v>
      </c>
      <c r="G21" s="6">
        <v>3</v>
      </c>
      <c r="H21" s="6"/>
      <c r="I21" s="6">
        <v>2</v>
      </c>
      <c r="J21" s="6">
        <v>5</v>
      </c>
      <c r="K21" s="6" t="s">
        <v>144</v>
      </c>
      <c r="L21" s="6">
        <v>1</v>
      </c>
      <c r="M21" s="6">
        <v>1</v>
      </c>
      <c r="N21" s="6">
        <v>5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  <c r="V21" s="6">
        <v>1</v>
      </c>
      <c r="W21" s="6">
        <v>1</v>
      </c>
      <c r="X21" s="6">
        <v>1</v>
      </c>
      <c r="Y21" s="6">
        <v>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10">
        <v>5</v>
      </c>
      <c r="AM21" s="10">
        <v>5</v>
      </c>
      <c r="AN21" s="10">
        <v>5</v>
      </c>
      <c r="AO21" s="10">
        <v>5</v>
      </c>
      <c r="AP21" s="10">
        <v>5</v>
      </c>
      <c r="AQ21" s="10">
        <v>5</v>
      </c>
      <c r="AR21" s="10">
        <v>1</v>
      </c>
      <c r="AS21" s="10"/>
      <c r="AT21" s="10"/>
      <c r="AU21" s="10"/>
      <c r="AV21" s="10"/>
      <c r="AW21" s="10"/>
      <c r="AX21" s="10"/>
      <c r="AY21" s="6"/>
      <c r="AZ21" s="6">
        <v>1</v>
      </c>
      <c r="BA21" s="6"/>
    </row>
    <row r="22" spans="1:53" x14ac:dyDescent="0.45">
      <c r="A22" s="6" t="s">
        <v>145</v>
      </c>
      <c r="B22" s="6">
        <v>1</v>
      </c>
      <c r="C22" s="6">
        <v>1</v>
      </c>
      <c r="D22" s="6">
        <v>1</v>
      </c>
      <c r="E22" s="6">
        <v>66</v>
      </c>
      <c r="F22" s="6">
        <v>33</v>
      </c>
      <c r="G22" s="6">
        <v>3</v>
      </c>
      <c r="H22" s="6"/>
      <c r="I22" s="6">
        <v>1</v>
      </c>
      <c r="J22" s="6">
        <v>2</v>
      </c>
      <c r="K22" s="6"/>
      <c r="L22" s="6">
        <v>1</v>
      </c>
      <c r="M22" s="6">
        <v>1</v>
      </c>
      <c r="N22" s="6">
        <v>5</v>
      </c>
      <c r="O22" s="6">
        <v>5</v>
      </c>
      <c r="P22" s="6">
        <v>4</v>
      </c>
      <c r="Q22" s="6">
        <v>4</v>
      </c>
      <c r="R22" s="6">
        <v>5</v>
      </c>
      <c r="S22" s="6">
        <v>4</v>
      </c>
      <c r="T22" s="6">
        <v>5</v>
      </c>
      <c r="U22" s="6">
        <v>5</v>
      </c>
      <c r="V22" s="6">
        <v>5</v>
      </c>
      <c r="W22" s="6">
        <v>5</v>
      </c>
      <c r="X22" s="6">
        <v>5</v>
      </c>
      <c r="Y22" s="6">
        <v>5</v>
      </c>
      <c r="Z22" s="6">
        <v>1</v>
      </c>
      <c r="AA22" s="6">
        <v>2</v>
      </c>
      <c r="AB22" s="6">
        <v>4</v>
      </c>
      <c r="AC22" s="6">
        <v>4</v>
      </c>
      <c r="AD22" s="6">
        <v>5</v>
      </c>
      <c r="AE22" s="6">
        <v>5</v>
      </c>
      <c r="AF22" s="6">
        <v>5</v>
      </c>
      <c r="AG22" s="6">
        <v>5</v>
      </c>
      <c r="AH22" s="6">
        <v>5</v>
      </c>
      <c r="AI22" s="6">
        <v>5</v>
      </c>
      <c r="AJ22" s="6">
        <v>5</v>
      </c>
      <c r="AK22" s="6">
        <v>5</v>
      </c>
      <c r="AL22" s="10">
        <v>4.625</v>
      </c>
      <c r="AM22" s="10">
        <v>5</v>
      </c>
      <c r="AN22" s="10">
        <v>5</v>
      </c>
      <c r="AO22" s="10">
        <v>4</v>
      </c>
      <c r="AP22" s="10">
        <v>4.5</v>
      </c>
      <c r="AQ22" s="10">
        <v>5</v>
      </c>
      <c r="AR22" s="10">
        <v>5</v>
      </c>
      <c r="AS22" s="10">
        <v>1.5</v>
      </c>
      <c r="AT22" s="10">
        <v>4</v>
      </c>
      <c r="AU22" s="10">
        <v>5</v>
      </c>
      <c r="AV22" s="10">
        <v>5</v>
      </c>
      <c r="AW22" s="10">
        <v>3.875</v>
      </c>
      <c r="AX22" s="10">
        <v>5</v>
      </c>
      <c r="AY22" s="6">
        <v>0</v>
      </c>
      <c r="AZ22" s="6">
        <v>1</v>
      </c>
      <c r="BA22" s="6"/>
    </row>
    <row r="23" spans="1:53" x14ac:dyDescent="0.45">
      <c r="A23" s="6" t="s">
        <v>146</v>
      </c>
      <c r="B23" s="6">
        <v>0</v>
      </c>
      <c r="C23" s="6">
        <v>1</v>
      </c>
      <c r="D23" s="6">
        <v>1</v>
      </c>
      <c r="E23" s="6">
        <v>56</v>
      </c>
      <c r="F23" s="6">
        <v>30</v>
      </c>
      <c r="G23" s="6">
        <v>3</v>
      </c>
      <c r="H23" s="6"/>
      <c r="I23" s="6">
        <v>2</v>
      </c>
      <c r="J23" s="6">
        <v>2</v>
      </c>
      <c r="K23" s="6"/>
      <c r="L23" s="6">
        <v>2</v>
      </c>
      <c r="M23" s="6">
        <v>2</v>
      </c>
      <c r="N23" s="6">
        <v>4</v>
      </c>
      <c r="O23" s="6">
        <v>5</v>
      </c>
      <c r="P23" s="6">
        <v>3</v>
      </c>
      <c r="Q23" s="6">
        <v>3</v>
      </c>
      <c r="R23" s="6">
        <v>3</v>
      </c>
      <c r="S23" s="6">
        <v>3</v>
      </c>
      <c r="T23" s="6">
        <v>4</v>
      </c>
      <c r="U23" s="6">
        <v>4</v>
      </c>
      <c r="V23" s="6">
        <v>3</v>
      </c>
      <c r="W23" s="6">
        <v>2</v>
      </c>
      <c r="X23" s="6">
        <v>2</v>
      </c>
      <c r="Y23" s="6">
        <v>3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10">
        <v>3.625</v>
      </c>
      <c r="AM23" s="10">
        <v>4</v>
      </c>
      <c r="AN23" s="10">
        <v>5</v>
      </c>
      <c r="AO23" s="10">
        <v>3</v>
      </c>
      <c r="AP23" s="10">
        <v>3</v>
      </c>
      <c r="AQ23" s="10">
        <v>4</v>
      </c>
      <c r="AR23" s="10">
        <v>2.5</v>
      </c>
      <c r="AS23" s="10"/>
      <c r="AT23" s="10"/>
      <c r="AU23" s="10"/>
      <c r="AV23" s="10"/>
      <c r="AW23" s="10"/>
      <c r="AX23" s="10"/>
      <c r="AY23" s="6"/>
      <c r="AZ23" s="6">
        <v>1</v>
      </c>
      <c r="BA23" s="6"/>
    </row>
    <row r="24" spans="1:53" x14ac:dyDescent="0.45">
      <c r="A24" s="6" t="s">
        <v>147</v>
      </c>
      <c r="B24" s="6">
        <v>0</v>
      </c>
      <c r="C24" s="6">
        <v>1</v>
      </c>
      <c r="D24" s="6">
        <v>1</v>
      </c>
      <c r="E24" s="6">
        <v>63</v>
      </c>
      <c r="F24" s="6">
        <v>33</v>
      </c>
      <c r="G24" s="6">
        <v>2</v>
      </c>
      <c r="H24" s="6"/>
      <c r="I24" s="6">
        <v>4</v>
      </c>
      <c r="J24" s="6">
        <v>2</v>
      </c>
      <c r="K24" s="6"/>
      <c r="L24" s="6">
        <v>1</v>
      </c>
      <c r="M24" s="6">
        <v>3</v>
      </c>
      <c r="N24" s="6">
        <v>3</v>
      </c>
      <c r="O24" s="6">
        <v>4</v>
      </c>
      <c r="P24" s="6">
        <v>2</v>
      </c>
      <c r="Q24" s="6">
        <v>2</v>
      </c>
      <c r="R24" s="6">
        <v>3</v>
      </c>
      <c r="S24" s="6">
        <v>3</v>
      </c>
      <c r="T24" s="6">
        <v>3</v>
      </c>
      <c r="U24" s="6">
        <v>3</v>
      </c>
      <c r="V24" s="6">
        <v>4</v>
      </c>
      <c r="W24" s="6">
        <v>4</v>
      </c>
      <c r="X24" s="6">
        <v>4</v>
      </c>
      <c r="Y24" s="6">
        <v>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10">
        <v>2.875</v>
      </c>
      <c r="AM24" s="10">
        <v>3</v>
      </c>
      <c r="AN24" s="10">
        <v>4</v>
      </c>
      <c r="AO24" s="10">
        <v>2</v>
      </c>
      <c r="AP24" s="10">
        <v>3</v>
      </c>
      <c r="AQ24" s="10">
        <v>3</v>
      </c>
      <c r="AR24" s="10">
        <v>4</v>
      </c>
      <c r="AS24" s="10"/>
      <c r="AT24" s="10"/>
      <c r="AU24" s="10"/>
      <c r="AV24" s="10"/>
      <c r="AW24" s="10"/>
      <c r="AX24" s="10"/>
      <c r="AY24" s="6"/>
      <c r="AZ24" s="6">
        <v>1</v>
      </c>
      <c r="BA24" s="6"/>
    </row>
    <row r="25" spans="1:53" x14ac:dyDescent="0.45">
      <c r="A25" s="6" t="s">
        <v>148</v>
      </c>
      <c r="B25" s="6">
        <v>1</v>
      </c>
      <c r="C25" s="6">
        <v>1</v>
      </c>
      <c r="D25" s="6">
        <v>1</v>
      </c>
      <c r="E25" s="6">
        <v>64</v>
      </c>
      <c r="F25" s="6">
        <v>1</v>
      </c>
      <c r="G25" s="6">
        <v>3</v>
      </c>
      <c r="H25" s="6"/>
      <c r="I25" s="6">
        <v>3</v>
      </c>
      <c r="J25" s="6">
        <v>5</v>
      </c>
      <c r="K25" s="6" t="s">
        <v>149</v>
      </c>
      <c r="L25" s="6">
        <v>2</v>
      </c>
      <c r="M25" s="6">
        <v>1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3</v>
      </c>
      <c r="W25" s="6">
        <v>1</v>
      </c>
      <c r="X25" s="6">
        <v>1</v>
      </c>
      <c r="Y25" s="6">
        <v>1</v>
      </c>
      <c r="Z25" s="6">
        <v>5</v>
      </c>
      <c r="AA25" s="6">
        <v>5</v>
      </c>
      <c r="AB25" s="6">
        <v>5</v>
      </c>
      <c r="AC25" s="6">
        <v>1</v>
      </c>
      <c r="AD25" s="6">
        <v>2</v>
      </c>
      <c r="AE25" s="6">
        <v>3</v>
      </c>
      <c r="AF25" s="6">
        <v>5</v>
      </c>
      <c r="AG25" s="6">
        <v>5</v>
      </c>
      <c r="AH25" s="6">
        <v>1</v>
      </c>
      <c r="AI25" s="6">
        <v>1</v>
      </c>
      <c r="AJ25" s="6">
        <v>5</v>
      </c>
      <c r="AK25" s="6">
        <v>1</v>
      </c>
      <c r="AL25" s="10">
        <v>5</v>
      </c>
      <c r="AM25" s="10">
        <v>5</v>
      </c>
      <c r="AN25" s="10">
        <v>5</v>
      </c>
      <c r="AO25" s="10">
        <v>5</v>
      </c>
      <c r="AP25" s="10">
        <v>5</v>
      </c>
      <c r="AQ25" s="10">
        <v>5</v>
      </c>
      <c r="AR25" s="10">
        <v>1.5</v>
      </c>
      <c r="AS25" s="10">
        <v>5</v>
      </c>
      <c r="AT25" s="10">
        <v>3</v>
      </c>
      <c r="AU25" s="10">
        <v>2.5</v>
      </c>
      <c r="AV25" s="10">
        <v>5</v>
      </c>
      <c r="AW25" s="10">
        <v>3.875</v>
      </c>
      <c r="AX25" s="10">
        <v>2</v>
      </c>
      <c r="AY25" s="6">
        <v>0</v>
      </c>
      <c r="AZ25" s="6">
        <v>1</v>
      </c>
      <c r="BA25" s="6"/>
    </row>
    <row r="26" spans="1:53" x14ac:dyDescent="0.45">
      <c r="A26" s="6" t="s">
        <v>150</v>
      </c>
      <c r="B26" s="6">
        <v>0</v>
      </c>
      <c r="C26" s="6">
        <v>1</v>
      </c>
      <c r="D26" s="6">
        <v>1</v>
      </c>
      <c r="E26" s="6">
        <v>48</v>
      </c>
      <c r="F26" s="6">
        <v>25</v>
      </c>
      <c r="G26" s="6">
        <v>3</v>
      </c>
      <c r="H26" s="6"/>
      <c r="I26" s="6">
        <v>4</v>
      </c>
      <c r="J26" s="6">
        <v>3</v>
      </c>
      <c r="K26" s="6"/>
      <c r="L26" s="6">
        <v>3</v>
      </c>
      <c r="M26" s="6">
        <v>1</v>
      </c>
      <c r="N26" s="6">
        <v>5</v>
      </c>
      <c r="O26" s="6">
        <v>5</v>
      </c>
      <c r="P26" s="6">
        <v>5</v>
      </c>
      <c r="Q26" s="6">
        <v>5</v>
      </c>
      <c r="R26" s="6">
        <v>5</v>
      </c>
      <c r="S26" s="6">
        <v>5</v>
      </c>
      <c r="T26" s="6">
        <v>5</v>
      </c>
      <c r="U26" s="6">
        <v>5</v>
      </c>
      <c r="V26" s="6">
        <v>2</v>
      </c>
      <c r="W26" s="6">
        <v>4</v>
      </c>
      <c r="X26" s="6">
        <v>2</v>
      </c>
      <c r="Y26" s="6">
        <v>2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10">
        <v>5</v>
      </c>
      <c r="AM26" s="10">
        <v>5</v>
      </c>
      <c r="AN26" s="10">
        <v>5</v>
      </c>
      <c r="AO26" s="10">
        <v>5</v>
      </c>
      <c r="AP26" s="10">
        <v>5</v>
      </c>
      <c r="AQ26" s="10">
        <v>5</v>
      </c>
      <c r="AR26" s="10">
        <v>2.5</v>
      </c>
      <c r="AS26" s="10"/>
      <c r="AT26" s="10"/>
      <c r="AU26" s="10"/>
      <c r="AV26" s="10"/>
      <c r="AW26" s="10"/>
      <c r="AX26" s="10"/>
      <c r="AY26" s="6"/>
      <c r="AZ26" s="6">
        <v>1</v>
      </c>
      <c r="BA26" s="6"/>
    </row>
    <row r="27" spans="1:53" x14ac:dyDescent="0.45">
      <c r="A27" s="6" t="s">
        <v>151</v>
      </c>
      <c r="B27" s="6">
        <v>1</v>
      </c>
      <c r="C27" s="6">
        <v>2</v>
      </c>
      <c r="D27" s="6">
        <v>1</v>
      </c>
      <c r="E27" s="6">
        <v>45</v>
      </c>
      <c r="F27" s="6">
        <v>12</v>
      </c>
      <c r="G27" s="6">
        <v>1</v>
      </c>
      <c r="H27" s="6"/>
      <c r="I27" s="6">
        <v>3</v>
      </c>
      <c r="J27" s="6">
        <v>3</v>
      </c>
      <c r="K27" s="6"/>
      <c r="L27" s="6">
        <v>2</v>
      </c>
      <c r="M27" s="6">
        <v>2</v>
      </c>
      <c r="N27" s="6">
        <v>5</v>
      </c>
      <c r="O27" s="6">
        <v>5</v>
      </c>
      <c r="P27" s="6">
        <v>5</v>
      </c>
      <c r="Q27" s="6">
        <v>5</v>
      </c>
      <c r="R27" s="6">
        <v>5</v>
      </c>
      <c r="S27" s="6">
        <v>5</v>
      </c>
      <c r="T27" s="6">
        <v>5</v>
      </c>
      <c r="U27" s="6">
        <v>5</v>
      </c>
      <c r="V27" s="6">
        <v>2</v>
      </c>
      <c r="W27" s="6">
        <v>2</v>
      </c>
      <c r="X27" s="6">
        <v>2</v>
      </c>
      <c r="Y27" s="6">
        <v>5</v>
      </c>
      <c r="Z27" s="6">
        <v>5</v>
      </c>
      <c r="AA27" s="6">
        <v>5</v>
      </c>
      <c r="AB27" s="6">
        <v>5</v>
      </c>
      <c r="AC27" s="6">
        <v>5</v>
      </c>
      <c r="AD27" s="6">
        <v>5</v>
      </c>
      <c r="AE27" s="6">
        <v>5</v>
      </c>
      <c r="AF27" s="6">
        <v>5</v>
      </c>
      <c r="AG27" s="6">
        <v>5</v>
      </c>
      <c r="AH27" s="6">
        <v>5</v>
      </c>
      <c r="AI27" s="6">
        <v>5</v>
      </c>
      <c r="AJ27" s="6">
        <v>5</v>
      </c>
      <c r="AK27" s="6">
        <v>5</v>
      </c>
      <c r="AL27" s="10">
        <v>5</v>
      </c>
      <c r="AM27" s="10">
        <v>5</v>
      </c>
      <c r="AN27" s="10">
        <v>5</v>
      </c>
      <c r="AO27" s="10">
        <v>5</v>
      </c>
      <c r="AP27" s="10">
        <v>5</v>
      </c>
      <c r="AQ27" s="10">
        <v>5</v>
      </c>
      <c r="AR27" s="10">
        <v>2.75</v>
      </c>
      <c r="AS27" s="10">
        <v>5</v>
      </c>
      <c r="AT27" s="10">
        <v>5</v>
      </c>
      <c r="AU27" s="10">
        <v>5</v>
      </c>
      <c r="AV27" s="10">
        <v>5</v>
      </c>
      <c r="AW27" s="10">
        <v>5</v>
      </c>
      <c r="AX27" s="10">
        <v>5</v>
      </c>
      <c r="AY27" s="6">
        <v>0</v>
      </c>
      <c r="AZ27" s="6">
        <v>1</v>
      </c>
      <c r="BA27" s="6"/>
    </row>
    <row r="28" spans="1:53" x14ac:dyDescent="0.45">
      <c r="A28" s="6" t="s">
        <v>152</v>
      </c>
      <c r="B28" s="6">
        <v>0</v>
      </c>
      <c r="C28" s="6">
        <v>2</v>
      </c>
      <c r="D28" s="6">
        <v>1</v>
      </c>
      <c r="E28" s="6">
        <v>39</v>
      </c>
      <c r="F28" s="6">
        <v>15</v>
      </c>
      <c r="G28" s="6">
        <v>1</v>
      </c>
      <c r="H28" s="6"/>
      <c r="I28" s="6">
        <v>1</v>
      </c>
      <c r="J28" s="6">
        <v>1</v>
      </c>
      <c r="K28" s="6"/>
      <c r="L28" s="6">
        <v>2</v>
      </c>
      <c r="M28" s="6">
        <v>2</v>
      </c>
      <c r="N28" s="6">
        <v>2</v>
      </c>
      <c r="O28" s="6">
        <v>3</v>
      </c>
      <c r="P28" s="6">
        <v>1</v>
      </c>
      <c r="Q28" s="6">
        <v>2</v>
      </c>
      <c r="R28" s="6">
        <v>2</v>
      </c>
      <c r="S28" s="6">
        <v>1</v>
      </c>
      <c r="T28" s="6">
        <v>2</v>
      </c>
      <c r="U28" s="6">
        <v>2</v>
      </c>
      <c r="V28" s="6">
        <v>5</v>
      </c>
      <c r="W28" s="6">
        <v>4</v>
      </c>
      <c r="X28" s="6">
        <v>4</v>
      </c>
      <c r="Y28" s="6">
        <v>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10">
        <v>1.875</v>
      </c>
      <c r="AM28" s="10">
        <v>2</v>
      </c>
      <c r="AN28" s="10">
        <v>3</v>
      </c>
      <c r="AO28" s="10">
        <v>1.5</v>
      </c>
      <c r="AP28" s="10">
        <v>1.5</v>
      </c>
      <c r="AQ28" s="10">
        <v>2</v>
      </c>
      <c r="AR28" s="10">
        <v>4.25</v>
      </c>
      <c r="AS28" s="10"/>
      <c r="AT28" s="10"/>
      <c r="AU28" s="10"/>
      <c r="AV28" s="10"/>
      <c r="AW28" s="10"/>
      <c r="AX28" s="10"/>
      <c r="AY28" s="6"/>
      <c r="AZ28" s="6">
        <v>1</v>
      </c>
      <c r="BA28" s="6"/>
    </row>
    <row r="29" spans="1:53" x14ac:dyDescent="0.45">
      <c r="A29" s="6" t="s">
        <v>153</v>
      </c>
      <c r="B29" s="6">
        <v>1</v>
      </c>
      <c r="C29" s="6">
        <v>1</v>
      </c>
      <c r="D29" s="6">
        <v>1</v>
      </c>
      <c r="E29" s="6">
        <v>37</v>
      </c>
      <c r="F29" s="6">
        <v>11</v>
      </c>
      <c r="G29" s="6">
        <v>2</v>
      </c>
      <c r="H29" s="6"/>
      <c r="I29" s="6">
        <v>4</v>
      </c>
      <c r="J29" s="6">
        <v>4</v>
      </c>
      <c r="K29" s="6"/>
      <c r="L29" s="6">
        <v>1</v>
      </c>
      <c r="M29" s="6">
        <v>2</v>
      </c>
      <c r="N29" s="6">
        <v>4</v>
      </c>
      <c r="O29" s="6">
        <v>4</v>
      </c>
      <c r="P29" s="6">
        <v>4</v>
      </c>
      <c r="Q29" s="6">
        <v>3</v>
      </c>
      <c r="R29" s="6">
        <v>3</v>
      </c>
      <c r="S29" s="6">
        <v>3</v>
      </c>
      <c r="T29" s="6">
        <v>5</v>
      </c>
      <c r="U29" s="6">
        <v>5</v>
      </c>
      <c r="V29" s="6">
        <v>3</v>
      </c>
      <c r="W29" s="6">
        <v>3</v>
      </c>
      <c r="X29" s="6">
        <v>4</v>
      </c>
      <c r="Y29" s="6">
        <v>5</v>
      </c>
      <c r="Z29" s="6">
        <v>3</v>
      </c>
      <c r="AA29" s="6">
        <v>2</v>
      </c>
      <c r="AB29" s="6">
        <v>3</v>
      </c>
      <c r="AC29" s="6">
        <v>2</v>
      </c>
      <c r="AD29" s="6">
        <v>3</v>
      </c>
      <c r="AE29" s="6">
        <v>3</v>
      </c>
      <c r="AF29" s="6">
        <v>2</v>
      </c>
      <c r="AG29" s="6">
        <v>3</v>
      </c>
      <c r="AH29" s="6">
        <v>3</v>
      </c>
      <c r="AI29" s="6">
        <v>3</v>
      </c>
      <c r="AJ29" s="6">
        <v>4</v>
      </c>
      <c r="AK29" s="6">
        <v>3</v>
      </c>
      <c r="AL29" s="10">
        <v>3.875</v>
      </c>
      <c r="AM29" s="10">
        <v>4</v>
      </c>
      <c r="AN29" s="10">
        <v>4</v>
      </c>
      <c r="AO29" s="10">
        <v>3.5</v>
      </c>
      <c r="AP29" s="10">
        <v>3</v>
      </c>
      <c r="AQ29" s="10">
        <v>5</v>
      </c>
      <c r="AR29" s="10">
        <v>3.75</v>
      </c>
      <c r="AS29" s="10">
        <v>2.5</v>
      </c>
      <c r="AT29" s="10">
        <v>2.5</v>
      </c>
      <c r="AU29" s="10">
        <v>3</v>
      </c>
      <c r="AV29" s="10">
        <v>2.5</v>
      </c>
      <c r="AW29" s="10">
        <v>2.625</v>
      </c>
      <c r="AX29" s="10">
        <v>3.25</v>
      </c>
      <c r="AY29" s="6">
        <v>0</v>
      </c>
      <c r="AZ29" s="6">
        <v>1</v>
      </c>
      <c r="BA29" s="6"/>
    </row>
    <row r="30" spans="1:53" x14ac:dyDescent="0.45">
      <c r="A30" s="6" t="s">
        <v>154</v>
      </c>
      <c r="B30" s="6">
        <v>0</v>
      </c>
      <c r="C30" s="6">
        <v>1</v>
      </c>
      <c r="D30" s="6">
        <v>1</v>
      </c>
      <c r="E30" s="6">
        <v>32</v>
      </c>
      <c r="F30" s="6">
        <v>5</v>
      </c>
      <c r="G30" s="6">
        <v>2</v>
      </c>
      <c r="H30" s="6"/>
      <c r="I30" s="6">
        <v>4</v>
      </c>
      <c r="J30" s="6">
        <v>3</v>
      </c>
      <c r="K30" s="6"/>
      <c r="L30" s="6">
        <v>2</v>
      </c>
      <c r="M30" s="6">
        <v>1</v>
      </c>
      <c r="N30" s="6">
        <v>4</v>
      </c>
      <c r="O30" s="6">
        <v>4</v>
      </c>
      <c r="P30" s="6">
        <v>3</v>
      </c>
      <c r="Q30" s="6">
        <v>4</v>
      </c>
      <c r="R30" s="6">
        <v>4</v>
      </c>
      <c r="S30" s="6">
        <v>5</v>
      </c>
      <c r="T30" s="6">
        <v>5</v>
      </c>
      <c r="U30" s="6">
        <v>5</v>
      </c>
      <c r="V30" s="6">
        <v>4</v>
      </c>
      <c r="W30" s="6">
        <v>4</v>
      </c>
      <c r="X30" s="6">
        <v>3</v>
      </c>
      <c r="Y30" s="6">
        <v>4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10">
        <v>4.25</v>
      </c>
      <c r="AM30" s="10">
        <v>4</v>
      </c>
      <c r="AN30" s="10">
        <v>4</v>
      </c>
      <c r="AO30" s="10">
        <v>3.5</v>
      </c>
      <c r="AP30" s="10">
        <v>4.5</v>
      </c>
      <c r="AQ30" s="10">
        <v>5</v>
      </c>
      <c r="AR30" s="10">
        <v>3.75</v>
      </c>
      <c r="AS30" s="10"/>
      <c r="AT30" s="10"/>
      <c r="AU30" s="10"/>
      <c r="AV30" s="10"/>
      <c r="AW30" s="10"/>
      <c r="AX30" s="10"/>
      <c r="AY30" s="6"/>
      <c r="AZ30" s="6">
        <v>1</v>
      </c>
      <c r="BA30" s="6"/>
    </row>
    <row r="31" spans="1:53" x14ac:dyDescent="0.45">
      <c r="A31" s="6" t="s">
        <v>155</v>
      </c>
      <c r="B31" s="6">
        <v>0</v>
      </c>
      <c r="C31" s="6">
        <v>2</v>
      </c>
      <c r="D31" s="6">
        <v>2</v>
      </c>
      <c r="E31" s="6">
        <v>24</v>
      </c>
      <c r="F31" s="6">
        <v>1</v>
      </c>
      <c r="G31" s="6"/>
      <c r="H31" s="6"/>
      <c r="I31" s="6">
        <v>2</v>
      </c>
      <c r="J31" s="6">
        <v>2</v>
      </c>
      <c r="K31" s="6"/>
      <c r="L31" s="6">
        <v>2</v>
      </c>
      <c r="M31" s="6">
        <v>2</v>
      </c>
      <c r="N31" s="6">
        <v>4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4</v>
      </c>
      <c r="W31" s="6">
        <v>4</v>
      </c>
      <c r="X31" s="6">
        <v>4</v>
      </c>
      <c r="Y31" s="6">
        <v>4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10">
        <v>4</v>
      </c>
      <c r="AM31" s="10">
        <v>4</v>
      </c>
      <c r="AN31" s="10">
        <v>4</v>
      </c>
      <c r="AO31" s="10">
        <v>4</v>
      </c>
      <c r="AP31" s="10">
        <v>4</v>
      </c>
      <c r="AQ31" s="10">
        <v>4</v>
      </c>
      <c r="AR31" s="10">
        <v>4</v>
      </c>
      <c r="AS31" s="10"/>
      <c r="AT31" s="10"/>
      <c r="AU31" s="10"/>
      <c r="AV31" s="10"/>
      <c r="AW31" s="10"/>
      <c r="AX31" s="10"/>
      <c r="AY31" s="6"/>
      <c r="AZ31" s="6">
        <v>1</v>
      </c>
      <c r="BA31" s="6"/>
    </row>
    <row r="32" spans="1:53" x14ac:dyDescent="0.45">
      <c r="A32" s="6" t="s">
        <v>158</v>
      </c>
      <c r="B32" s="6">
        <v>1</v>
      </c>
      <c r="C32" s="6">
        <v>2</v>
      </c>
      <c r="D32" s="6">
        <v>1</v>
      </c>
      <c r="E32" s="6">
        <v>30</v>
      </c>
      <c r="F32" s="6">
        <v>4</v>
      </c>
      <c r="G32" s="6">
        <v>1</v>
      </c>
      <c r="H32" s="6"/>
      <c r="I32" s="6">
        <v>3</v>
      </c>
      <c r="J32" s="6">
        <v>2</v>
      </c>
      <c r="K32" s="6"/>
      <c r="L32" s="6">
        <v>2</v>
      </c>
      <c r="M32" s="6">
        <v>3</v>
      </c>
      <c r="N32" s="6">
        <v>4</v>
      </c>
      <c r="O32" s="6">
        <v>4</v>
      </c>
      <c r="P32" s="6">
        <v>4</v>
      </c>
      <c r="Q32" s="6">
        <v>4</v>
      </c>
      <c r="R32" s="6">
        <v>4</v>
      </c>
      <c r="S32" s="6">
        <v>4</v>
      </c>
      <c r="T32" s="6">
        <v>4</v>
      </c>
      <c r="U32" s="6">
        <v>4</v>
      </c>
      <c r="V32" s="6">
        <v>2</v>
      </c>
      <c r="W32" s="6">
        <v>2</v>
      </c>
      <c r="X32" s="6">
        <v>2</v>
      </c>
      <c r="Y32" s="6">
        <v>2</v>
      </c>
      <c r="Z32" s="6">
        <v>4</v>
      </c>
      <c r="AA32" s="6">
        <v>4</v>
      </c>
      <c r="AB32" s="6">
        <v>4</v>
      </c>
      <c r="AC32" s="6">
        <v>4</v>
      </c>
      <c r="AD32" s="6">
        <v>2</v>
      </c>
      <c r="AE32" s="6">
        <v>2</v>
      </c>
      <c r="AF32" s="6">
        <v>4</v>
      </c>
      <c r="AG32" s="6">
        <v>3</v>
      </c>
      <c r="AH32" s="6">
        <v>1</v>
      </c>
      <c r="AI32" s="6">
        <v>2</v>
      </c>
      <c r="AJ32" s="6">
        <v>5</v>
      </c>
      <c r="AK32" s="6">
        <v>3</v>
      </c>
      <c r="AL32" s="10">
        <v>4</v>
      </c>
      <c r="AM32" s="10">
        <v>4</v>
      </c>
      <c r="AN32" s="10">
        <v>4</v>
      </c>
      <c r="AO32" s="10">
        <v>4</v>
      </c>
      <c r="AP32" s="10">
        <v>4</v>
      </c>
      <c r="AQ32" s="10">
        <v>4</v>
      </c>
      <c r="AR32" s="10">
        <v>2</v>
      </c>
      <c r="AS32" s="10">
        <v>4</v>
      </c>
      <c r="AT32" s="10">
        <v>4</v>
      </c>
      <c r="AU32" s="10">
        <v>2</v>
      </c>
      <c r="AV32" s="10">
        <v>3.5</v>
      </c>
      <c r="AW32" s="10">
        <v>3.375</v>
      </c>
      <c r="AX32" s="10">
        <v>2.75</v>
      </c>
      <c r="AY32" s="6">
        <v>0</v>
      </c>
      <c r="AZ32" s="6">
        <v>1</v>
      </c>
      <c r="BA32" s="6"/>
    </row>
    <row r="33" spans="1:53" x14ac:dyDescent="0.45">
      <c r="A33" s="6" t="s">
        <v>159</v>
      </c>
      <c r="B33" s="6">
        <v>0</v>
      </c>
      <c r="C33" s="6">
        <v>2</v>
      </c>
      <c r="D33" s="6">
        <v>1</v>
      </c>
      <c r="E33" s="6">
        <v>52</v>
      </c>
      <c r="F33" s="6">
        <v>28</v>
      </c>
      <c r="G33" s="6">
        <v>1</v>
      </c>
      <c r="H33" s="6"/>
      <c r="I33" s="6">
        <v>4</v>
      </c>
      <c r="J33" s="6">
        <v>3</v>
      </c>
      <c r="K33" s="6"/>
      <c r="L33" s="6">
        <v>4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3</v>
      </c>
      <c r="S33" s="6">
        <v>3</v>
      </c>
      <c r="T33" s="6">
        <v>4</v>
      </c>
      <c r="U33" s="6">
        <v>3</v>
      </c>
      <c r="V33" s="6">
        <v>5</v>
      </c>
      <c r="W33" s="6">
        <v>4</v>
      </c>
      <c r="X33" s="6">
        <v>5</v>
      </c>
      <c r="Y33" s="6">
        <v>5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10">
        <v>3.125</v>
      </c>
      <c r="AM33" s="10">
        <v>3</v>
      </c>
      <c r="AN33" s="10">
        <v>3</v>
      </c>
      <c r="AO33" s="10">
        <v>3</v>
      </c>
      <c r="AP33" s="10">
        <v>3</v>
      </c>
      <c r="AQ33" s="10">
        <v>3.5</v>
      </c>
      <c r="AR33" s="10">
        <v>4.75</v>
      </c>
      <c r="AS33" s="10"/>
      <c r="AT33" s="10"/>
      <c r="AU33" s="10"/>
      <c r="AV33" s="10"/>
      <c r="AW33" s="10"/>
      <c r="AX33" s="10"/>
      <c r="AY33" s="6"/>
      <c r="AZ33" s="6">
        <v>1</v>
      </c>
      <c r="BA33" s="6"/>
    </row>
    <row r="34" spans="1:53" x14ac:dyDescent="0.45">
      <c r="A34" s="6" t="s">
        <v>160</v>
      </c>
      <c r="B34" s="6">
        <v>1</v>
      </c>
      <c r="C34" s="6">
        <v>1</v>
      </c>
      <c r="D34" s="6">
        <v>1</v>
      </c>
      <c r="E34" s="6">
        <v>51</v>
      </c>
      <c r="F34" s="6">
        <v>30</v>
      </c>
      <c r="G34" s="6">
        <v>3</v>
      </c>
      <c r="H34" s="6"/>
      <c r="I34" s="6">
        <v>3</v>
      </c>
      <c r="J34" s="6">
        <v>5</v>
      </c>
      <c r="K34" s="6" t="s">
        <v>161</v>
      </c>
      <c r="L34" s="6">
        <v>1</v>
      </c>
      <c r="M34" s="6">
        <v>1</v>
      </c>
      <c r="N34" s="6">
        <v>4</v>
      </c>
      <c r="O34" s="6">
        <v>4</v>
      </c>
      <c r="P34" s="6">
        <v>4</v>
      </c>
      <c r="Q34" s="6">
        <v>4</v>
      </c>
      <c r="R34" s="6">
        <v>4</v>
      </c>
      <c r="S34" s="6">
        <v>4</v>
      </c>
      <c r="T34" s="6">
        <v>4</v>
      </c>
      <c r="U34" s="6">
        <v>4</v>
      </c>
      <c r="V34" s="6">
        <v>4</v>
      </c>
      <c r="W34" s="6">
        <v>3</v>
      </c>
      <c r="X34" s="6">
        <v>4</v>
      </c>
      <c r="Y34" s="6">
        <v>3</v>
      </c>
      <c r="Z34" s="6">
        <v>4</v>
      </c>
      <c r="AA34" s="6">
        <v>4</v>
      </c>
      <c r="AB34" s="6">
        <v>4</v>
      </c>
      <c r="AC34" s="6">
        <v>4</v>
      </c>
      <c r="AD34" s="6">
        <v>3</v>
      </c>
      <c r="AE34" s="6">
        <v>3</v>
      </c>
      <c r="AF34" s="6">
        <v>3</v>
      </c>
      <c r="AG34" s="6">
        <v>3</v>
      </c>
      <c r="AH34" s="6">
        <v>3</v>
      </c>
      <c r="AI34" s="6">
        <v>3</v>
      </c>
      <c r="AJ34" s="6">
        <v>4</v>
      </c>
      <c r="AK34" s="6">
        <v>3</v>
      </c>
      <c r="AL34" s="10">
        <v>4</v>
      </c>
      <c r="AM34" s="10">
        <v>4</v>
      </c>
      <c r="AN34" s="10">
        <v>4</v>
      </c>
      <c r="AO34" s="10">
        <v>4</v>
      </c>
      <c r="AP34" s="10">
        <v>4</v>
      </c>
      <c r="AQ34" s="10">
        <v>4</v>
      </c>
      <c r="AR34" s="10">
        <v>3.5</v>
      </c>
      <c r="AS34" s="10">
        <v>4</v>
      </c>
      <c r="AT34" s="10">
        <v>4</v>
      </c>
      <c r="AU34" s="10">
        <v>3</v>
      </c>
      <c r="AV34" s="10">
        <v>3</v>
      </c>
      <c r="AW34" s="10">
        <v>3.5</v>
      </c>
      <c r="AX34" s="10">
        <v>3.25</v>
      </c>
      <c r="AY34" s="6">
        <v>0</v>
      </c>
      <c r="AZ34" s="6">
        <v>1</v>
      </c>
      <c r="BA34" s="6"/>
    </row>
    <row r="35" spans="1:53" x14ac:dyDescent="0.45">
      <c r="A35" s="6" t="s">
        <v>162</v>
      </c>
      <c r="B35" s="6">
        <v>1</v>
      </c>
      <c r="C35" s="6">
        <v>1</v>
      </c>
      <c r="D35" s="6">
        <v>1</v>
      </c>
      <c r="E35" s="6">
        <v>58</v>
      </c>
      <c r="F35" s="6">
        <v>6</v>
      </c>
      <c r="G35" s="6">
        <v>2</v>
      </c>
      <c r="H35" s="6"/>
      <c r="I35" s="6">
        <v>3</v>
      </c>
      <c r="J35" s="6">
        <v>4</v>
      </c>
      <c r="K35" s="6"/>
      <c r="L35" s="6">
        <v>3</v>
      </c>
      <c r="M35" s="6">
        <v>1</v>
      </c>
      <c r="N35" s="6">
        <v>4</v>
      </c>
      <c r="O35" s="6">
        <v>4</v>
      </c>
      <c r="P35" s="6">
        <v>4</v>
      </c>
      <c r="Q35" s="6">
        <v>4</v>
      </c>
      <c r="R35" s="6">
        <v>4</v>
      </c>
      <c r="S35" s="6">
        <v>4</v>
      </c>
      <c r="T35" s="6">
        <v>4</v>
      </c>
      <c r="U35" s="6">
        <v>4</v>
      </c>
      <c r="V35" s="6">
        <v>2</v>
      </c>
      <c r="W35" s="6">
        <v>2</v>
      </c>
      <c r="X35" s="6">
        <v>2</v>
      </c>
      <c r="Y35" s="6">
        <v>2</v>
      </c>
      <c r="Z35" s="6">
        <v>3</v>
      </c>
      <c r="AA35" s="6">
        <v>4</v>
      </c>
      <c r="AB35" s="6">
        <v>4</v>
      </c>
      <c r="AC35" s="6">
        <v>3</v>
      </c>
      <c r="AD35" s="6">
        <v>3</v>
      </c>
      <c r="AE35" s="6">
        <v>3</v>
      </c>
      <c r="AF35" s="6">
        <v>4</v>
      </c>
      <c r="AG35" s="6">
        <v>3</v>
      </c>
      <c r="AH35" s="6">
        <v>4</v>
      </c>
      <c r="AI35" s="6">
        <v>4</v>
      </c>
      <c r="AJ35" s="6">
        <v>4</v>
      </c>
      <c r="AK35" s="6">
        <v>4</v>
      </c>
      <c r="AL35" s="10">
        <v>4</v>
      </c>
      <c r="AM35" s="10">
        <v>4</v>
      </c>
      <c r="AN35" s="10">
        <v>4</v>
      </c>
      <c r="AO35" s="10">
        <v>4</v>
      </c>
      <c r="AP35" s="10">
        <v>4</v>
      </c>
      <c r="AQ35" s="10">
        <v>4</v>
      </c>
      <c r="AR35" s="10">
        <v>2</v>
      </c>
      <c r="AS35" s="10">
        <v>3.5</v>
      </c>
      <c r="AT35" s="10">
        <v>3.5</v>
      </c>
      <c r="AU35" s="10">
        <v>3</v>
      </c>
      <c r="AV35" s="10">
        <v>3.5</v>
      </c>
      <c r="AW35" s="10">
        <v>3.375</v>
      </c>
      <c r="AX35" s="10">
        <v>4</v>
      </c>
      <c r="AY35" s="6">
        <v>1</v>
      </c>
      <c r="AZ35" s="6">
        <v>1</v>
      </c>
      <c r="BA35" s="6"/>
    </row>
    <row r="36" spans="1:53" x14ac:dyDescent="0.45">
      <c r="A36" s="6" t="s">
        <v>163</v>
      </c>
      <c r="B36" s="6">
        <v>1</v>
      </c>
      <c r="C36" s="6">
        <v>1</v>
      </c>
      <c r="D36" s="6">
        <v>1</v>
      </c>
      <c r="E36" s="6">
        <v>46</v>
      </c>
      <c r="F36" s="6">
        <v>20</v>
      </c>
      <c r="G36" s="6">
        <v>3</v>
      </c>
      <c r="H36" s="6"/>
      <c r="I36" s="6">
        <v>4</v>
      </c>
      <c r="J36" s="6">
        <v>2</v>
      </c>
      <c r="K36" s="6"/>
      <c r="L36" s="6">
        <v>2</v>
      </c>
      <c r="M36" s="6">
        <v>2</v>
      </c>
      <c r="N36" s="6">
        <v>4</v>
      </c>
      <c r="O36" s="6">
        <v>4</v>
      </c>
      <c r="P36" s="6">
        <v>3</v>
      </c>
      <c r="Q36" s="6">
        <v>3</v>
      </c>
      <c r="R36" s="6">
        <v>3</v>
      </c>
      <c r="S36" s="6">
        <v>4</v>
      </c>
      <c r="T36" s="6">
        <v>4</v>
      </c>
      <c r="U36" s="6">
        <v>4</v>
      </c>
      <c r="V36" s="6">
        <v>4</v>
      </c>
      <c r="W36" s="6">
        <v>4</v>
      </c>
      <c r="X36" s="6">
        <v>4</v>
      </c>
      <c r="Y36" s="6">
        <v>4</v>
      </c>
      <c r="Z36" s="6">
        <v>3</v>
      </c>
      <c r="AA36" s="6">
        <v>3</v>
      </c>
      <c r="AB36" s="6">
        <v>4</v>
      </c>
      <c r="AC36" s="6">
        <v>3</v>
      </c>
      <c r="AD36" s="6">
        <v>3</v>
      </c>
      <c r="AE36" s="6">
        <v>4</v>
      </c>
      <c r="AF36" s="6">
        <v>5</v>
      </c>
      <c r="AG36" s="6">
        <v>3</v>
      </c>
      <c r="AH36" s="6">
        <v>1</v>
      </c>
      <c r="AI36" s="6">
        <v>2</v>
      </c>
      <c r="AJ36" s="6">
        <v>4</v>
      </c>
      <c r="AK36" s="6">
        <v>5</v>
      </c>
      <c r="AL36" s="10">
        <v>3.625</v>
      </c>
      <c r="AM36" s="10">
        <v>4</v>
      </c>
      <c r="AN36" s="10">
        <v>4</v>
      </c>
      <c r="AO36" s="10">
        <v>3</v>
      </c>
      <c r="AP36" s="10">
        <v>3.5</v>
      </c>
      <c r="AQ36" s="10">
        <v>4</v>
      </c>
      <c r="AR36" s="10">
        <v>4</v>
      </c>
      <c r="AS36" s="10">
        <v>3</v>
      </c>
      <c r="AT36" s="10">
        <v>3.5</v>
      </c>
      <c r="AU36" s="10">
        <v>3.5</v>
      </c>
      <c r="AV36" s="10">
        <v>4</v>
      </c>
      <c r="AW36" s="10">
        <v>3.5</v>
      </c>
      <c r="AX36" s="10">
        <v>3</v>
      </c>
      <c r="AY36" s="6">
        <v>0</v>
      </c>
      <c r="AZ36" s="6">
        <v>1</v>
      </c>
      <c r="BA36" s="6"/>
    </row>
    <row r="37" spans="1:53" x14ac:dyDescent="0.45">
      <c r="A37" s="6" t="s">
        <v>164</v>
      </c>
      <c r="B37" s="6">
        <v>0</v>
      </c>
      <c r="C37" s="6">
        <v>2</v>
      </c>
      <c r="D37" s="6">
        <v>1</v>
      </c>
      <c r="E37" s="6">
        <v>60</v>
      </c>
      <c r="F37" s="6">
        <v>36</v>
      </c>
      <c r="G37" s="6">
        <v>1</v>
      </c>
      <c r="H37" s="6"/>
      <c r="I37" s="6">
        <v>4</v>
      </c>
      <c r="J37" s="6">
        <v>2</v>
      </c>
      <c r="K37" s="6"/>
      <c r="L37" s="6">
        <v>2</v>
      </c>
      <c r="M37" s="6">
        <v>2</v>
      </c>
      <c r="N37" s="6">
        <v>3</v>
      </c>
      <c r="O37" s="6">
        <v>3</v>
      </c>
      <c r="P37" s="6">
        <v>2</v>
      </c>
      <c r="Q37" s="6">
        <v>3</v>
      </c>
      <c r="R37" s="6">
        <v>2</v>
      </c>
      <c r="S37" s="6">
        <v>2</v>
      </c>
      <c r="T37" s="6">
        <v>3</v>
      </c>
      <c r="U37" s="6">
        <v>3</v>
      </c>
      <c r="V37" s="6">
        <v>2</v>
      </c>
      <c r="W37" s="6">
        <v>2</v>
      </c>
      <c r="X37" s="6">
        <v>3</v>
      </c>
      <c r="Y37" s="6">
        <v>2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10">
        <v>2.625</v>
      </c>
      <c r="AM37" s="10">
        <v>3</v>
      </c>
      <c r="AN37" s="10">
        <v>3</v>
      </c>
      <c r="AO37" s="10">
        <v>2.5</v>
      </c>
      <c r="AP37" s="10">
        <v>2</v>
      </c>
      <c r="AQ37" s="10">
        <v>3</v>
      </c>
      <c r="AR37" s="10">
        <v>2.25</v>
      </c>
      <c r="AS37" s="10"/>
      <c r="AT37" s="10"/>
      <c r="AU37" s="10"/>
      <c r="AV37" s="10"/>
      <c r="AW37" s="10"/>
      <c r="AX37" s="10"/>
      <c r="AY37" s="6"/>
      <c r="AZ37" s="6">
        <v>1</v>
      </c>
      <c r="BA37" s="6"/>
    </row>
    <row r="38" spans="1:53" x14ac:dyDescent="0.45">
      <c r="A38" s="6" t="s">
        <v>165</v>
      </c>
      <c r="B38" s="6">
        <v>1</v>
      </c>
      <c r="C38" s="6">
        <v>2</v>
      </c>
      <c r="D38" s="6">
        <v>1</v>
      </c>
      <c r="E38" s="6">
        <v>56</v>
      </c>
      <c r="F38" s="6">
        <v>30</v>
      </c>
      <c r="G38" s="6">
        <v>4</v>
      </c>
      <c r="H38" s="6" t="s">
        <v>166</v>
      </c>
      <c r="I38" s="6">
        <v>3</v>
      </c>
      <c r="J38" s="6">
        <v>4</v>
      </c>
      <c r="K38" s="6"/>
      <c r="L38" s="6">
        <v>3</v>
      </c>
      <c r="M38" s="6">
        <v>1</v>
      </c>
      <c r="N38" s="6">
        <v>3</v>
      </c>
      <c r="O38" s="6">
        <v>5</v>
      </c>
      <c r="P38" s="6">
        <v>3</v>
      </c>
      <c r="Q38" s="6">
        <v>5</v>
      </c>
      <c r="R38" s="6">
        <v>4</v>
      </c>
      <c r="S38" s="6">
        <v>3</v>
      </c>
      <c r="T38" s="6">
        <v>5</v>
      </c>
      <c r="U38" s="6">
        <v>5</v>
      </c>
      <c r="V38" s="6">
        <v>2</v>
      </c>
      <c r="W38" s="6">
        <v>2</v>
      </c>
      <c r="X38" s="6">
        <v>2</v>
      </c>
      <c r="Y38" s="6">
        <v>4</v>
      </c>
      <c r="Z38" s="6">
        <v>4</v>
      </c>
      <c r="AA38" s="6">
        <v>4</v>
      </c>
      <c r="AB38" s="6">
        <v>4</v>
      </c>
      <c r="AC38" s="6">
        <v>4</v>
      </c>
      <c r="AD38" s="6">
        <v>4</v>
      </c>
      <c r="AE38" s="6">
        <v>3</v>
      </c>
      <c r="AF38" s="6">
        <v>5</v>
      </c>
      <c r="AG38" s="6">
        <v>5</v>
      </c>
      <c r="AH38" s="6">
        <v>5</v>
      </c>
      <c r="AI38" s="6">
        <v>5</v>
      </c>
      <c r="AJ38" s="6">
        <v>5</v>
      </c>
      <c r="AK38" s="6">
        <v>5</v>
      </c>
      <c r="AL38" s="10">
        <v>4.125</v>
      </c>
      <c r="AM38" s="10">
        <v>3</v>
      </c>
      <c r="AN38" s="10">
        <v>5</v>
      </c>
      <c r="AO38" s="10">
        <v>4</v>
      </c>
      <c r="AP38" s="10">
        <v>3.5</v>
      </c>
      <c r="AQ38" s="10">
        <v>5</v>
      </c>
      <c r="AR38" s="10">
        <v>2.5</v>
      </c>
      <c r="AS38" s="10">
        <v>4</v>
      </c>
      <c r="AT38" s="10">
        <v>4</v>
      </c>
      <c r="AU38" s="10">
        <v>3.5</v>
      </c>
      <c r="AV38" s="10">
        <v>5</v>
      </c>
      <c r="AW38" s="10">
        <v>4.125</v>
      </c>
      <c r="AX38" s="10">
        <v>5</v>
      </c>
      <c r="AY38" s="6">
        <v>1</v>
      </c>
      <c r="AZ38" s="6">
        <v>1</v>
      </c>
      <c r="BA38" s="6"/>
    </row>
    <row r="39" spans="1:53" x14ac:dyDescent="0.45">
      <c r="A39" s="6" t="s">
        <v>167</v>
      </c>
      <c r="B39" s="6">
        <v>0</v>
      </c>
      <c r="C39" s="6">
        <v>1</v>
      </c>
      <c r="D39" s="6">
        <v>1</v>
      </c>
      <c r="E39" s="6">
        <v>57</v>
      </c>
      <c r="F39" s="6">
        <v>32</v>
      </c>
      <c r="G39" s="6">
        <v>3</v>
      </c>
      <c r="H39" s="6"/>
      <c r="I39" s="6">
        <v>1</v>
      </c>
      <c r="J39" s="6">
        <v>5</v>
      </c>
      <c r="K39" s="6" t="s">
        <v>168</v>
      </c>
      <c r="L39" s="6">
        <v>2</v>
      </c>
      <c r="M39" s="6">
        <v>1</v>
      </c>
      <c r="N39" s="6">
        <v>5</v>
      </c>
      <c r="O39" s="6">
        <v>5</v>
      </c>
      <c r="P39" s="6">
        <v>5</v>
      </c>
      <c r="Q39" s="6">
        <v>5</v>
      </c>
      <c r="R39" s="6">
        <v>5</v>
      </c>
      <c r="S39" s="6">
        <v>5</v>
      </c>
      <c r="T39" s="6">
        <v>5</v>
      </c>
      <c r="U39" s="6">
        <v>5</v>
      </c>
      <c r="V39" s="6">
        <v>1</v>
      </c>
      <c r="W39" s="6">
        <v>1</v>
      </c>
      <c r="X39" s="6">
        <v>1</v>
      </c>
      <c r="Y39" s="6">
        <v>1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10">
        <v>5</v>
      </c>
      <c r="AM39" s="10">
        <v>5</v>
      </c>
      <c r="AN39" s="10">
        <v>5</v>
      </c>
      <c r="AO39" s="10">
        <v>5</v>
      </c>
      <c r="AP39" s="10">
        <v>5</v>
      </c>
      <c r="AQ39" s="10">
        <v>5</v>
      </c>
      <c r="AR39" s="10">
        <v>1</v>
      </c>
      <c r="AS39" s="10"/>
      <c r="AT39" s="10"/>
      <c r="AU39" s="10"/>
      <c r="AV39" s="10"/>
      <c r="AW39" s="10"/>
      <c r="AX39" s="10"/>
      <c r="AY39" s="6"/>
      <c r="AZ39" s="6">
        <v>1</v>
      </c>
      <c r="BA39" s="6"/>
    </row>
    <row r="40" spans="1:53" x14ac:dyDescent="0.45">
      <c r="A40" s="6" t="s">
        <v>169</v>
      </c>
      <c r="B40" s="6">
        <v>0</v>
      </c>
      <c r="C40" s="6">
        <v>2</v>
      </c>
      <c r="D40" s="6">
        <v>1</v>
      </c>
      <c r="E40" s="6">
        <v>55</v>
      </c>
      <c r="F40" s="6">
        <v>25</v>
      </c>
      <c r="G40" s="6">
        <v>4</v>
      </c>
      <c r="H40" s="6" t="s">
        <v>170</v>
      </c>
      <c r="I40" s="6">
        <v>1</v>
      </c>
      <c r="J40" s="6">
        <v>1</v>
      </c>
      <c r="K40" s="6"/>
      <c r="L40" s="6">
        <v>2</v>
      </c>
      <c r="M40" s="6">
        <v>4</v>
      </c>
      <c r="N40" s="6">
        <v>3</v>
      </c>
      <c r="O40" s="6">
        <v>4</v>
      </c>
      <c r="P40" s="6">
        <v>2</v>
      </c>
      <c r="Q40" s="6">
        <v>2</v>
      </c>
      <c r="R40" s="6">
        <v>2</v>
      </c>
      <c r="S40" s="6">
        <v>3</v>
      </c>
      <c r="T40" s="6">
        <v>3</v>
      </c>
      <c r="U40" s="6">
        <v>3</v>
      </c>
      <c r="V40" s="6">
        <v>4</v>
      </c>
      <c r="W40" s="6">
        <v>4</v>
      </c>
      <c r="X40" s="6">
        <v>4</v>
      </c>
      <c r="Y40" s="6">
        <v>5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10">
        <v>2.75</v>
      </c>
      <c r="AM40" s="10">
        <v>3</v>
      </c>
      <c r="AN40" s="10">
        <v>4</v>
      </c>
      <c r="AO40" s="10">
        <v>2</v>
      </c>
      <c r="AP40" s="10">
        <v>2.5</v>
      </c>
      <c r="AQ40" s="10">
        <v>3</v>
      </c>
      <c r="AR40" s="10">
        <v>4.25</v>
      </c>
      <c r="AS40" s="10"/>
      <c r="AT40" s="10"/>
      <c r="AU40" s="10"/>
      <c r="AV40" s="10"/>
      <c r="AW40" s="10"/>
      <c r="AX40" s="10"/>
      <c r="AY40" s="6"/>
      <c r="AZ40" s="6">
        <v>1</v>
      </c>
      <c r="BA40" s="6"/>
    </row>
    <row r="41" spans="1:53" x14ac:dyDescent="0.45">
      <c r="A41" s="6" t="s">
        <v>172</v>
      </c>
      <c r="B41" s="6">
        <v>1</v>
      </c>
      <c r="C41" s="6">
        <v>1</v>
      </c>
      <c r="D41" s="6">
        <v>1</v>
      </c>
      <c r="E41" s="6">
        <v>59</v>
      </c>
      <c r="F41" s="6">
        <v>32</v>
      </c>
      <c r="G41" s="6">
        <v>3</v>
      </c>
      <c r="H41" s="6"/>
      <c r="I41" s="6">
        <v>3</v>
      </c>
      <c r="J41" s="6">
        <v>2</v>
      </c>
      <c r="K41" s="6"/>
      <c r="L41" s="6">
        <v>2</v>
      </c>
      <c r="M41" s="6">
        <v>1</v>
      </c>
      <c r="N41" s="6">
        <v>4</v>
      </c>
      <c r="O41" s="6">
        <v>5</v>
      </c>
      <c r="P41" s="6">
        <v>4</v>
      </c>
      <c r="Q41" s="6">
        <v>4</v>
      </c>
      <c r="R41" s="6">
        <v>4</v>
      </c>
      <c r="S41" s="6">
        <v>5</v>
      </c>
      <c r="T41" s="6">
        <v>5</v>
      </c>
      <c r="U41" s="6">
        <v>5</v>
      </c>
      <c r="V41" s="6">
        <v>4</v>
      </c>
      <c r="W41" s="6">
        <v>4</v>
      </c>
      <c r="X41" s="6">
        <v>4</v>
      </c>
      <c r="Y41" s="6">
        <v>4</v>
      </c>
      <c r="Z41" s="6">
        <v>3</v>
      </c>
      <c r="AA41" s="6">
        <v>4</v>
      </c>
      <c r="AB41" s="6">
        <v>4</v>
      </c>
      <c r="AC41" s="6">
        <v>2</v>
      </c>
      <c r="AD41" s="6">
        <v>3</v>
      </c>
      <c r="AE41" s="6">
        <v>3</v>
      </c>
      <c r="AF41" s="6">
        <v>4</v>
      </c>
      <c r="AG41" s="6">
        <v>3</v>
      </c>
      <c r="AH41" s="6">
        <v>2</v>
      </c>
      <c r="AI41" s="6">
        <v>2</v>
      </c>
      <c r="AJ41" s="6">
        <v>3</v>
      </c>
      <c r="AK41" s="6">
        <v>2</v>
      </c>
      <c r="AL41" s="10">
        <v>4.5</v>
      </c>
      <c r="AM41" s="10">
        <v>4</v>
      </c>
      <c r="AN41" s="10">
        <v>5</v>
      </c>
      <c r="AO41" s="10">
        <v>4</v>
      </c>
      <c r="AP41" s="10">
        <v>4.5</v>
      </c>
      <c r="AQ41" s="10">
        <v>5</v>
      </c>
      <c r="AR41" s="10">
        <v>4</v>
      </c>
      <c r="AS41" s="10">
        <v>3.5</v>
      </c>
      <c r="AT41" s="10">
        <v>3</v>
      </c>
      <c r="AU41" s="10">
        <v>3</v>
      </c>
      <c r="AV41" s="10">
        <v>3.5</v>
      </c>
      <c r="AW41" s="10">
        <v>3.25</v>
      </c>
      <c r="AX41" s="10">
        <v>2.25</v>
      </c>
      <c r="AY41" s="6">
        <v>0</v>
      </c>
      <c r="AZ41" s="6">
        <v>1</v>
      </c>
      <c r="BA41" s="6"/>
    </row>
    <row r="42" spans="1:53" x14ac:dyDescent="0.45">
      <c r="A42" s="6" t="s">
        <v>173</v>
      </c>
      <c r="B42" s="6">
        <v>0</v>
      </c>
      <c r="C42" s="6">
        <v>2</v>
      </c>
      <c r="D42" s="6">
        <v>1</v>
      </c>
      <c r="E42" s="6">
        <v>48</v>
      </c>
      <c r="F42" s="6">
        <v>14</v>
      </c>
      <c r="G42" s="6">
        <v>1</v>
      </c>
      <c r="H42" s="6"/>
      <c r="I42" s="6">
        <v>3</v>
      </c>
      <c r="J42" s="6">
        <v>2</v>
      </c>
      <c r="K42" s="6"/>
      <c r="L42" s="6">
        <v>3</v>
      </c>
      <c r="M42" s="6">
        <v>2</v>
      </c>
      <c r="N42" s="6">
        <v>4</v>
      </c>
      <c r="O42" s="6">
        <v>5</v>
      </c>
      <c r="P42" s="6">
        <v>5</v>
      </c>
      <c r="Q42" s="6">
        <v>5</v>
      </c>
      <c r="R42" s="6">
        <v>5</v>
      </c>
      <c r="S42" s="6">
        <v>5</v>
      </c>
      <c r="T42" s="6">
        <v>5</v>
      </c>
      <c r="U42" s="6">
        <v>5</v>
      </c>
      <c r="V42" s="6">
        <v>2</v>
      </c>
      <c r="W42" s="6">
        <v>3</v>
      </c>
      <c r="X42" s="6">
        <v>3</v>
      </c>
      <c r="Y42" s="6">
        <v>3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10">
        <v>4.875</v>
      </c>
      <c r="AM42" s="10">
        <v>4</v>
      </c>
      <c r="AN42" s="10">
        <v>5</v>
      </c>
      <c r="AO42" s="10">
        <v>5</v>
      </c>
      <c r="AP42" s="10">
        <v>5</v>
      </c>
      <c r="AQ42" s="10">
        <v>5</v>
      </c>
      <c r="AR42" s="10">
        <v>2.75</v>
      </c>
      <c r="AS42" s="10"/>
      <c r="AT42" s="10"/>
      <c r="AU42" s="10"/>
      <c r="AV42" s="10"/>
      <c r="AW42" s="10"/>
      <c r="AX42" s="10"/>
      <c r="AY42" s="6"/>
      <c r="AZ42" s="6">
        <v>1</v>
      </c>
      <c r="BA42" s="6"/>
    </row>
    <row r="43" spans="1:53" x14ac:dyDescent="0.45">
      <c r="A43" s="6" t="s">
        <v>174</v>
      </c>
      <c r="B43" s="6">
        <v>0</v>
      </c>
      <c r="C43" s="6">
        <v>1</v>
      </c>
      <c r="D43" s="6">
        <v>1</v>
      </c>
      <c r="E43" s="6">
        <v>48</v>
      </c>
      <c r="F43" s="6">
        <v>20</v>
      </c>
      <c r="G43" s="6">
        <v>3</v>
      </c>
      <c r="H43" s="6"/>
      <c r="I43" s="6">
        <v>2</v>
      </c>
      <c r="J43" s="6">
        <v>2</v>
      </c>
      <c r="K43" s="6"/>
      <c r="L43" s="6">
        <v>2</v>
      </c>
      <c r="M43" s="6">
        <v>2</v>
      </c>
      <c r="N43" s="6">
        <v>4</v>
      </c>
      <c r="O43" s="6">
        <v>5</v>
      </c>
      <c r="P43" s="6">
        <v>4</v>
      </c>
      <c r="Q43" s="6">
        <v>4</v>
      </c>
      <c r="R43" s="6">
        <v>4</v>
      </c>
      <c r="S43" s="6">
        <v>4</v>
      </c>
      <c r="T43" s="6">
        <v>4</v>
      </c>
      <c r="U43" s="6">
        <v>4</v>
      </c>
      <c r="V43" s="6">
        <v>4</v>
      </c>
      <c r="W43" s="6">
        <v>4</v>
      </c>
      <c r="X43" s="6">
        <v>4</v>
      </c>
      <c r="Y43" s="6">
        <v>4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10">
        <v>4.125</v>
      </c>
      <c r="AM43" s="10">
        <v>4</v>
      </c>
      <c r="AN43" s="10">
        <v>5</v>
      </c>
      <c r="AO43" s="10">
        <v>4</v>
      </c>
      <c r="AP43" s="10">
        <v>4</v>
      </c>
      <c r="AQ43" s="10">
        <v>4</v>
      </c>
      <c r="AR43" s="10">
        <v>4</v>
      </c>
      <c r="AS43" s="10"/>
      <c r="AT43" s="10"/>
      <c r="AU43" s="10"/>
      <c r="AV43" s="10"/>
      <c r="AW43" s="10"/>
      <c r="AX43" s="10"/>
      <c r="AY43" s="6"/>
      <c r="AZ43" s="6">
        <v>1</v>
      </c>
      <c r="BA43" s="6"/>
    </row>
    <row r="44" spans="1:53" x14ac:dyDescent="0.45">
      <c r="A44" s="6" t="s">
        <v>175</v>
      </c>
      <c r="B44" s="6">
        <v>0</v>
      </c>
      <c r="C44" s="6">
        <v>1</v>
      </c>
      <c r="D44" s="6">
        <v>1</v>
      </c>
      <c r="E44" s="6">
        <v>44</v>
      </c>
      <c r="F44" s="6">
        <v>17</v>
      </c>
      <c r="G44" s="6">
        <v>1</v>
      </c>
      <c r="H44" s="6"/>
      <c r="I44" s="6">
        <v>4</v>
      </c>
      <c r="J44" s="6">
        <v>2</v>
      </c>
      <c r="K44" s="6"/>
      <c r="L44" s="6">
        <v>2</v>
      </c>
      <c r="M44" s="6">
        <v>2</v>
      </c>
      <c r="N44" s="6">
        <v>3</v>
      </c>
      <c r="O44" s="6">
        <v>3</v>
      </c>
      <c r="P44" s="6">
        <v>3</v>
      </c>
      <c r="Q44" s="6">
        <v>3</v>
      </c>
      <c r="R44" s="6">
        <v>3</v>
      </c>
      <c r="S44" s="6">
        <v>2</v>
      </c>
      <c r="T44" s="6">
        <v>4</v>
      </c>
      <c r="U44" s="6">
        <v>3</v>
      </c>
      <c r="V44" s="6">
        <v>3</v>
      </c>
      <c r="W44" s="6">
        <v>3</v>
      </c>
      <c r="X44" s="6">
        <v>3</v>
      </c>
      <c r="Y44" s="6">
        <v>4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10">
        <v>3</v>
      </c>
      <c r="AM44" s="10">
        <v>3</v>
      </c>
      <c r="AN44" s="10">
        <v>3</v>
      </c>
      <c r="AO44" s="10">
        <v>3</v>
      </c>
      <c r="AP44" s="10">
        <v>2.5</v>
      </c>
      <c r="AQ44" s="10">
        <v>3.5</v>
      </c>
      <c r="AR44" s="10">
        <v>3.25</v>
      </c>
      <c r="AS44" s="10"/>
      <c r="AT44" s="10"/>
      <c r="AU44" s="10"/>
      <c r="AV44" s="10"/>
      <c r="AW44" s="10"/>
      <c r="AX44" s="10"/>
      <c r="AY44" s="6"/>
      <c r="AZ44" s="6">
        <v>1</v>
      </c>
      <c r="BA44" s="6"/>
    </row>
    <row r="45" spans="1:53" x14ac:dyDescent="0.45">
      <c r="A45" s="6" t="s">
        <v>176</v>
      </c>
      <c r="B45" s="6">
        <v>0</v>
      </c>
      <c r="C45" s="6">
        <v>2</v>
      </c>
      <c r="D45" s="6">
        <v>2</v>
      </c>
      <c r="E45" s="6">
        <v>34</v>
      </c>
      <c r="F45" s="6">
        <v>8</v>
      </c>
      <c r="G45" s="6">
        <v>1</v>
      </c>
      <c r="H45" s="6"/>
      <c r="I45" s="6">
        <v>2</v>
      </c>
      <c r="J45" s="6">
        <v>2</v>
      </c>
      <c r="K45" s="6"/>
      <c r="L45" s="6">
        <v>4</v>
      </c>
      <c r="M45" s="6">
        <v>4</v>
      </c>
      <c r="N45" s="6">
        <v>3</v>
      </c>
      <c r="O45" s="6">
        <v>3</v>
      </c>
      <c r="P45" s="6">
        <v>3</v>
      </c>
      <c r="Q45" s="6">
        <v>3</v>
      </c>
      <c r="R45" s="6">
        <v>3</v>
      </c>
      <c r="S45" s="6">
        <v>2</v>
      </c>
      <c r="T45" s="6">
        <v>3</v>
      </c>
      <c r="U45" s="6">
        <v>3</v>
      </c>
      <c r="V45" s="6">
        <v>5</v>
      </c>
      <c r="W45" s="6">
        <v>5</v>
      </c>
      <c r="X45" s="6">
        <v>5</v>
      </c>
      <c r="Y45" s="6">
        <v>5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10">
        <v>2.875</v>
      </c>
      <c r="AM45" s="10">
        <v>3</v>
      </c>
      <c r="AN45" s="10">
        <v>3</v>
      </c>
      <c r="AO45" s="10">
        <v>3</v>
      </c>
      <c r="AP45" s="10">
        <v>2.5</v>
      </c>
      <c r="AQ45" s="10">
        <v>3</v>
      </c>
      <c r="AR45" s="10">
        <v>5</v>
      </c>
      <c r="AS45" s="10"/>
      <c r="AT45" s="10"/>
      <c r="AU45" s="10"/>
      <c r="AV45" s="10"/>
      <c r="AW45" s="10"/>
      <c r="AX45" s="10"/>
      <c r="AY45" s="6"/>
      <c r="AZ45" s="6">
        <v>1</v>
      </c>
      <c r="BA45" s="6"/>
    </row>
    <row r="46" spans="1:53" x14ac:dyDescent="0.45">
      <c r="A46" s="6" t="s">
        <v>177</v>
      </c>
      <c r="B46" s="6">
        <v>1</v>
      </c>
      <c r="C46" s="6">
        <v>1</v>
      </c>
      <c r="D46" s="6">
        <v>1</v>
      </c>
      <c r="E46" s="6">
        <v>33</v>
      </c>
      <c r="F46" s="6">
        <v>8</v>
      </c>
      <c r="G46" s="6">
        <v>2</v>
      </c>
      <c r="H46" s="6"/>
      <c r="I46" s="6">
        <v>3</v>
      </c>
      <c r="J46" s="6">
        <v>2</v>
      </c>
      <c r="K46" s="6"/>
      <c r="L46" s="6">
        <v>1</v>
      </c>
      <c r="M46" s="6">
        <v>1</v>
      </c>
      <c r="N46" s="6">
        <v>4</v>
      </c>
      <c r="O46" s="6">
        <v>4</v>
      </c>
      <c r="P46" s="6">
        <v>4</v>
      </c>
      <c r="Q46" s="6">
        <v>4</v>
      </c>
      <c r="R46" s="6">
        <v>5</v>
      </c>
      <c r="S46" s="6">
        <v>4</v>
      </c>
      <c r="T46" s="6">
        <v>5</v>
      </c>
      <c r="U46" s="6">
        <v>4</v>
      </c>
      <c r="V46" s="6">
        <v>4</v>
      </c>
      <c r="W46" s="6">
        <v>3</v>
      </c>
      <c r="X46" s="6">
        <v>5</v>
      </c>
      <c r="Y46" s="6">
        <v>3</v>
      </c>
      <c r="Z46" s="6">
        <v>4</v>
      </c>
      <c r="AA46" s="6">
        <v>4</v>
      </c>
      <c r="AB46" s="6">
        <v>3</v>
      </c>
      <c r="AC46" s="6">
        <v>2</v>
      </c>
      <c r="AD46" s="6">
        <v>3</v>
      </c>
      <c r="AE46" s="6">
        <v>1</v>
      </c>
      <c r="AF46" s="6">
        <v>4</v>
      </c>
      <c r="AG46" s="6">
        <v>3</v>
      </c>
      <c r="AH46" s="6">
        <v>1</v>
      </c>
      <c r="AI46" s="6">
        <v>1</v>
      </c>
      <c r="AJ46" s="6">
        <v>4</v>
      </c>
      <c r="AK46" s="6">
        <v>1</v>
      </c>
      <c r="AL46" s="10">
        <v>4.25</v>
      </c>
      <c r="AM46" s="10">
        <v>4</v>
      </c>
      <c r="AN46" s="10">
        <v>4</v>
      </c>
      <c r="AO46" s="10">
        <v>4</v>
      </c>
      <c r="AP46" s="10">
        <v>4.5</v>
      </c>
      <c r="AQ46" s="10">
        <v>4.5</v>
      </c>
      <c r="AR46" s="10">
        <v>3.75</v>
      </c>
      <c r="AS46" s="10">
        <v>4</v>
      </c>
      <c r="AT46" s="10">
        <v>2.5</v>
      </c>
      <c r="AU46" s="10">
        <v>2</v>
      </c>
      <c r="AV46" s="10">
        <v>3.5</v>
      </c>
      <c r="AW46" s="10">
        <v>3</v>
      </c>
      <c r="AX46" s="10">
        <v>1.75</v>
      </c>
      <c r="AY46" s="6">
        <v>0</v>
      </c>
      <c r="AZ46" s="6">
        <v>1</v>
      </c>
      <c r="BA46" s="6"/>
    </row>
    <row r="47" spans="1:53" x14ac:dyDescent="0.45">
      <c r="A47" s="6" t="s">
        <v>178</v>
      </c>
      <c r="B47" s="6">
        <v>0</v>
      </c>
      <c r="C47" s="6">
        <v>1</v>
      </c>
      <c r="D47" s="6">
        <v>1</v>
      </c>
      <c r="E47" s="6">
        <v>45</v>
      </c>
      <c r="F47" s="6">
        <v>19</v>
      </c>
      <c r="G47" s="6">
        <v>1</v>
      </c>
      <c r="H47" s="6"/>
      <c r="I47" s="6">
        <v>4</v>
      </c>
      <c r="J47" s="6">
        <v>2</v>
      </c>
      <c r="K47" s="6"/>
      <c r="L47" s="6">
        <v>2</v>
      </c>
      <c r="M47" s="6">
        <v>1</v>
      </c>
      <c r="N47" s="6">
        <v>4</v>
      </c>
      <c r="O47" s="6">
        <v>4</v>
      </c>
      <c r="P47" s="6">
        <v>5</v>
      </c>
      <c r="Q47" s="6">
        <v>3</v>
      </c>
      <c r="R47" s="6">
        <v>2</v>
      </c>
      <c r="S47" s="6">
        <v>2</v>
      </c>
      <c r="T47" s="6">
        <v>4</v>
      </c>
      <c r="U47" s="6">
        <v>3</v>
      </c>
      <c r="V47" s="6">
        <v>4</v>
      </c>
      <c r="W47" s="6">
        <v>4</v>
      </c>
      <c r="X47" s="6">
        <v>4</v>
      </c>
      <c r="Y47" s="6">
        <v>3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10">
        <v>3.375</v>
      </c>
      <c r="AM47" s="10">
        <v>4</v>
      </c>
      <c r="AN47" s="10">
        <v>4</v>
      </c>
      <c r="AO47" s="10">
        <v>4</v>
      </c>
      <c r="AP47" s="10">
        <v>2</v>
      </c>
      <c r="AQ47" s="10">
        <v>3.5</v>
      </c>
      <c r="AR47" s="10">
        <v>3.75</v>
      </c>
      <c r="AS47" s="10"/>
      <c r="AT47" s="10"/>
      <c r="AU47" s="10"/>
      <c r="AV47" s="10"/>
      <c r="AW47" s="10"/>
      <c r="AX47" s="10"/>
      <c r="AY47" s="6"/>
      <c r="AZ47" s="6">
        <v>1</v>
      </c>
      <c r="BA47" s="6"/>
    </row>
    <row r="48" spans="1:53" x14ac:dyDescent="0.45">
      <c r="A48" s="6" t="s">
        <v>179</v>
      </c>
      <c r="B48" s="6">
        <v>0</v>
      </c>
      <c r="C48" s="6">
        <v>1</v>
      </c>
      <c r="D48" s="6">
        <v>1</v>
      </c>
      <c r="E48" s="6">
        <v>30</v>
      </c>
      <c r="F48" s="6">
        <v>5</v>
      </c>
      <c r="G48" s="6">
        <v>2</v>
      </c>
      <c r="H48" s="6"/>
      <c r="I48" s="6">
        <v>4</v>
      </c>
      <c r="J48" s="6">
        <v>3</v>
      </c>
      <c r="K48" s="6"/>
      <c r="L48" s="6">
        <v>2</v>
      </c>
      <c r="M48" s="6">
        <v>1</v>
      </c>
      <c r="N48" s="6">
        <v>4</v>
      </c>
      <c r="O48" s="6">
        <v>4</v>
      </c>
      <c r="P48" s="6">
        <v>4</v>
      </c>
      <c r="Q48" s="6">
        <v>4</v>
      </c>
      <c r="R48" s="6">
        <v>4</v>
      </c>
      <c r="S48" s="6">
        <v>4</v>
      </c>
      <c r="T48" s="6">
        <v>4</v>
      </c>
      <c r="U48" s="6">
        <v>4</v>
      </c>
      <c r="V48" s="6">
        <v>3</v>
      </c>
      <c r="W48" s="6">
        <v>3</v>
      </c>
      <c r="X48" s="6">
        <v>3</v>
      </c>
      <c r="Y48" s="6">
        <v>3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10">
        <v>4</v>
      </c>
      <c r="AM48" s="10">
        <v>4</v>
      </c>
      <c r="AN48" s="10">
        <v>4</v>
      </c>
      <c r="AO48" s="10">
        <v>4</v>
      </c>
      <c r="AP48" s="10">
        <v>4</v>
      </c>
      <c r="AQ48" s="10">
        <v>4</v>
      </c>
      <c r="AR48" s="10">
        <v>3</v>
      </c>
      <c r="AS48" s="10"/>
      <c r="AT48" s="10"/>
      <c r="AU48" s="10"/>
      <c r="AV48" s="10"/>
      <c r="AW48" s="10"/>
      <c r="AX48" s="10"/>
      <c r="AY48" s="6"/>
      <c r="AZ48" s="6">
        <v>1</v>
      </c>
      <c r="BA48" s="6"/>
    </row>
    <row r="49" spans="1:53" x14ac:dyDescent="0.45">
      <c r="A49" s="6" t="s">
        <v>180</v>
      </c>
      <c r="B49" s="6">
        <v>0</v>
      </c>
      <c r="C49" s="6">
        <v>1</v>
      </c>
      <c r="D49" s="6">
        <v>1</v>
      </c>
      <c r="E49" s="6">
        <v>55</v>
      </c>
      <c r="F49" s="6">
        <v>15</v>
      </c>
      <c r="G49" s="6">
        <v>2</v>
      </c>
      <c r="H49" s="6"/>
      <c r="I49" s="6">
        <v>3</v>
      </c>
      <c r="J49" s="6">
        <v>5</v>
      </c>
      <c r="K49" s="6" t="s">
        <v>181</v>
      </c>
      <c r="L49" s="6">
        <v>2</v>
      </c>
      <c r="M49" s="6">
        <v>3</v>
      </c>
      <c r="N49" s="6">
        <v>4</v>
      </c>
      <c r="O49" s="6">
        <v>4</v>
      </c>
      <c r="P49" s="6">
        <v>4</v>
      </c>
      <c r="Q49" s="6">
        <v>4</v>
      </c>
      <c r="R49" s="6">
        <v>4</v>
      </c>
      <c r="S49" s="6">
        <v>2</v>
      </c>
      <c r="T49" s="6">
        <v>4</v>
      </c>
      <c r="U49" s="6">
        <v>4</v>
      </c>
      <c r="V49" s="6">
        <v>4</v>
      </c>
      <c r="W49" s="6">
        <v>5</v>
      </c>
      <c r="X49" s="6">
        <v>5</v>
      </c>
      <c r="Y49" s="6">
        <v>5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10">
        <v>3.75</v>
      </c>
      <c r="AM49" s="10">
        <v>4</v>
      </c>
      <c r="AN49" s="10">
        <v>4</v>
      </c>
      <c r="AO49" s="10">
        <v>4</v>
      </c>
      <c r="AP49" s="10">
        <v>3</v>
      </c>
      <c r="AQ49" s="10">
        <v>4</v>
      </c>
      <c r="AR49" s="10">
        <v>4.75</v>
      </c>
      <c r="AS49" s="10"/>
      <c r="AT49" s="10"/>
      <c r="AU49" s="10"/>
      <c r="AV49" s="10"/>
      <c r="AW49" s="10"/>
      <c r="AX49" s="10"/>
      <c r="AY49" s="6"/>
      <c r="AZ49" s="6">
        <v>1</v>
      </c>
      <c r="BA49" s="6"/>
    </row>
    <row r="50" spans="1:53" x14ac:dyDescent="0.45">
      <c r="A50" s="6" t="s">
        <v>182</v>
      </c>
      <c r="B50" s="6">
        <v>1</v>
      </c>
      <c r="C50" s="6">
        <v>1</v>
      </c>
      <c r="D50" s="6">
        <v>1</v>
      </c>
      <c r="E50" s="6">
        <v>63</v>
      </c>
      <c r="F50" s="6">
        <v>37</v>
      </c>
      <c r="G50" s="6">
        <v>3</v>
      </c>
      <c r="H50" s="6"/>
      <c r="I50" s="6">
        <v>2</v>
      </c>
      <c r="J50" s="6">
        <v>4</v>
      </c>
      <c r="K50" s="6"/>
      <c r="L50" s="6">
        <v>1</v>
      </c>
      <c r="M50" s="6">
        <v>3</v>
      </c>
      <c r="N50" s="6">
        <v>4</v>
      </c>
      <c r="O50" s="6">
        <v>4</v>
      </c>
      <c r="P50" s="6">
        <v>4</v>
      </c>
      <c r="Q50" s="6">
        <v>4</v>
      </c>
      <c r="R50" s="6">
        <v>3</v>
      </c>
      <c r="S50" s="6">
        <v>4</v>
      </c>
      <c r="T50" s="6">
        <v>4</v>
      </c>
      <c r="U50" s="6">
        <v>4</v>
      </c>
      <c r="V50" s="6">
        <v>5</v>
      </c>
      <c r="W50" s="6">
        <v>4</v>
      </c>
      <c r="X50" s="6">
        <v>5</v>
      </c>
      <c r="Y50" s="6">
        <v>4</v>
      </c>
      <c r="Z50" s="6">
        <v>4</v>
      </c>
      <c r="AA50" s="6">
        <v>4</v>
      </c>
      <c r="AB50" s="6">
        <v>4</v>
      </c>
      <c r="AC50" s="6">
        <v>4</v>
      </c>
      <c r="AD50" s="6">
        <v>4</v>
      </c>
      <c r="AE50" s="6">
        <v>4</v>
      </c>
      <c r="AF50" s="6">
        <v>4</v>
      </c>
      <c r="AG50" s="6">
        <v>4</v>
      </c>
      <c r="AH50" s="6">
        <v>4</v>
      </c>
      <c r="AI50" s="6">
        <v>4</v>
      </c>
      <c r="AJ50" s="6">
        <v>4</v>
      </c>
      <c r="AK50" s="6">
        <v>4</v>
      </c>
      <c r="AL50" s="10">
        <v>3.875</v>
      </c>
      <c r="AM50" s="10">
        <v>4</v>
      </c>
      <c r="AN50" s="10">
        <v>4</v>
      </c>
      <c r="AO50" s="10">
        <v>4</v>
      </c>
      <c r="AP50" s="10">
        <v>3.5</v>
      </c>
      <c r="AQ50" s="10">
        <v>4</v>
      </c>
      <c r="AR50" s="10">
        <v>4.5</v>
      </c>
      <c r="AS50" s="10">
        <v>4</v>
      </c>
      <c r="AT50" s="10">
        <v>4</v>
      </c>
      <c r="AU50" s="10">
        <v>4</v>
      </c>
      <c r="AV50" s="10">
        <v>4</v>
      </c>
      <c r="AW50" s="10">
        <v>4</v>
      </c>
      <c r="AX50" s="10">
        <v>4</v>
      </c>
      <c r="AY50" s="6">
        <v>0</v>
      </c>
      <c r="AZ50" s="6">
        <v>1</v>
      </c>
      <c r="BA50" s="6"/>
    </row>
    <row r="51" spans="1:53" x14ac:dyDescent="0.45">
      <c r="A51" s="6" t="s">
        <v>183</v>
      </c>
      <c r="B51" s="6">
        <v>0</v>
      </c>
      <c r="C51" s="6">
        <v>1</v>
      </c>
      <c r="D51" s="6">
        <v>1</v>
      </c>
      <c r="E51" s="6">
        <v>37</v>
      </c>
      <c r="F51" s="6">
        <v>13</v>
      </c>
      <c r="G51" s="6">
        <v>3</v>
      </c>
      <c r="H51" s="6"/>
      <c r="I51" s="6">
        <v>2</v>
      </c>
      <c r="J51" s="6">
        <v>3</v>
      </c>
      <c r="K51" s="6"/>
      <c r="L51" s="6">
        <v>1</v>
      </c>
      <c r="M51" s="6">
        <v>2</v>
      </c>
      <c r="N51" s="6">
        <v>4</v>
      </c>
      <c r="O51" s="6">
        <v>4</v>
      </c>
      <c r="P51" s="6">
        <v>4</v>
      </c>
      <c r="Q51" s="6">
        <v>4</v>
      </c>
      <c r="R51" s="6">
        <v>4</v>
      </c>
      <c r="S51" s="6">
        <v>4</v>
      </c>
      <c r="T51" s="6">
        <v>4</v>
      </c>
      <c r="U51" s="6">
        <v>4</v>
      </c>
      <c r="V51" s="6">
        <v>4</v>
      </c>
      <c r="W51" s="6">
        <v>4</v>
      </c>
      <c r="X51" s="6">
        <v>4</v>
      </c>
      <c r="Y51" s="6">
        <v>4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10">
        <v>4</v>
      </c>
      <c r="AM51" s="10">
        <v>4</v>
      </c>
      <c r="AN51" s="10">
        <v>4</v>
      </c>
      <c r="AO51" s="10">
        <v>4</v>
      </c>
      <c r="AP51" s="10">
        <v>4</v>
      </c>
      <c r="AQ51" s="10">
        <v>4</v>
      </c>
      <c r="AR51" s="10">
        <v>4</v>
      </c>
      <c r="AS51" s="10"/>
      <c r="AT51" s="10"/>
      <c r="AU51" s="10"/>
      <c r="AV51" s="10"/>
      <c r="AW51" s="10"/>
      <c r="AX51" s="10"/>
      <c r="AY51" s="6"/>
      <c r="AZ51" s="6">
        <v>1</v>
      </c>
      <c r="BA51" s="6"/>
    </row>
    <row r="52" spans="1:53" x14ac:dyDescent="0.45">
      <c r="A52" s="6" t="s">
        <v>184</v>
      </c>
      <c r="B52" s="6">
        <v>0</v>
      </c>
      <c r="C52" s="6">
        <v>1</v>
      </c>
      <c r="D52" s="6">
        <v>2</v>
      </c>
      <c r="E52" s="6">
        <v>28</v>
      </c>
      <c r="F52" s="6">
        <v>4</v>
      </c>
      <c r="G52" s="6">
        <v>2</v>
      </c>
      <c r="H52" s="6"/>
      <c r="I52" s="6">
        <v>4</v>
      </c>
      <c r="J52" s="6">
        <v>2</v>
      </c>
      <c r="K52" s="6"/>
      <c r="L52" s="6">
        <v>2</v>
      </c>
      <c r="M52" s="6">
        <v>2</v>
      </c>
      <c r="N52" s="6">
        <v>3</v>
      </c>
      <c r="O52" s="6">
        <v>2</v>
      </c>
      <c r="P52" s="6">
        <v>3</v>
      </c>
      <c r="Q52" s="6">
        <v>3</v>
      </c>
      <c r="R52" s="6">
        <v>4</v>
      </c>
      <c r="S52" s="6">
        <v>2</v>
      </c>
      <c r="T52" s="6">
        <v>3</v>
      </c>
      <c r="U52" s="6">
        <v>3</v>
      </c>
      <c r="V52" s="6">
        <v>2</v>
      </c>
      <c r="W52" s="6">
        <v>2</v>
      </c>
      <c r="X52" s="6">
        <v>2</v>
      </c>
      <c r="Y52" s="6">
        <v>2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10">
        <v>2.875</v>
      </c>
      <c r="AM52" s="10">
        <v>3</v>
      </c>
      <c r="AN52" s="10">
        <v>2</v>
      </c>
      <c r="AO52" s="10">
        <v>3</v>
      </c>
      <c r="AP52" s="10">
        <v>3</v>
      </c>
      <c r="AQ52" s="10">
        <v>3</v>
      </c>
      <c r="AR52" s="10">
        <v>2</v>
      </c>
      <c r="AS52" s="10"/>
      <c r="AT52" s="10"/>
      <c r="AU52" s="10"/>
      <c r="AV52" s="10"/>
      <c r="AW52" s="10"/>
      <c r="AX52" s="10"/>
      <c r="AY52" s="6"/>
      <c r="AZ52" s="6">
        <v>1</v>
      </c>
      <c r="BA52" s="6"/>
    </row>
    <row r="53" spans="1:53" x14ac:dyDescent="0.45">
      <c r="A53" s="6" t="s">
        <v>185</v>
      </c>
      <c r="B53" s="6">
        <v>0</v>
      </c>
      <c r="C53" s="6">
        <v>2</v>
      </c>
      <c r="D53" s="6">
        <v>1</v>
      </c>
      <c r="E53" s="6">
        <v>33</v>
      </c>
      <c r="F53" s="6">
        <v>7</v>
      </c>
      <c r="G53" s="6">
        <v>1</v>
      </c>
      <c r="H53" s="6"/>
      <c r="I53" s="6">
        <v>2</v>
      </c>
      <c r="J53" s="6">
        <v>2</v>
      </c>
      <c r="K53" s="6"/>
      <c r="L53" s="6">
        <v>1</v>
      </c>
      <c r="M53" s="6">
        <v>3</v>
      </c>
      <c r="N53" s="6">
        <v>4</v>
      </c>
      <c r="O53" s="6">
        <v>5</v>
      </c>
      <c r="P53" s="6">
        <v>4</v>
      </c>
      <c r="Q53" s="6">
        <v>4</v>
      </c>
      <c r="R53" s="6">
        <v>3</v>
      </c>
      <c r="S53" s="6">
        <v>4</v>
      </c>
      <c r="T53" s="6">
        <v>5</v>
      </c>
      <c r="U53" s="6">
        <v>4</v>
      </c>
      <c r="V53" s="6">
        <v>5</v>
      </c>
      <c r="W53" s="6">
        <v>5</v>
      </c>
      <c r="X53" s="6">
        <v>5</v>
      </c>
      <c r="Y53" s="6">
        <v>4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10">
        <v>4.125</v>
      </c>
      <c r="AM53" s="10">
        <v>4</v>
      </c>
      <c r="AN53" s="10">
        <v>5</v>
      </c>
      <c r="AO53" s="10">
        <v>4</v>
      </c>
      <c r="AP53" s="10">
        <v>3.5</v>
      </c>
      <c r="AQ53" s="10">
        <v>4.5</v>
      </c>
      <c r="AR53" s="10">
        <v>4.75</v>
      </c>
      <c r="AS53" s="10"/>
      <c r="AT53" s="10"/>
      <c r="AU53" s="10"/>
      <c r="AV53" s="10"/>
      <c r="AW53" s="10"/>
      <c r="AX53" s="10"/>
      <c r="AY53" s="6"/>
      <c r="AZ53" s="6">
        <v>1</v>
      </c>
      <c r="BA53" s="6"/>
    </row>
    <row r="54" spans="1:53" x14ac:dyDescent="0.45">
      <c r="A54" s="6" t="s">
        <v>186</v>
      </c>
      <c r="B54" s="6">
        <v>1</v>
      </c>
      <c r="C54" s="6">
        <v>2</v>
      </c>
      <c r="D54" s="6">
        <v>1</v>
      </c>
      <c r="E54" s="6">
        <v>45</v>
      </c>
      <c r="F54" s="6">
        <v>10</v>
      </c>
      <c r="G54" s="6">
        <v>1</v>
      </c>
      <c r="H54" s="6"/>
      <c r="I54" s="6">
        <v>2</v>
      </c>
      <c r="J54" s="6">
        <v>3</v>
      </c>
      <c r="K54" s="6"/>
      <c r="L54" s="6">
        <v>1</v>
      </c>
      <c r="M54" s="6">
        <v>2</v>
      </c>
      <c r="N54" s="6">
        <v>5</v>
      </c>
      <c r="O54" s="6">
        <v>5</v>
      </c>
      <c r="P54" s="6">
        <v>5</v>
      </c>
      <c r="Q54" s="6">
        <v>5</v>
      </c>
      <c r="R54" s="6">
        <v>5</v>
      </c>
      <c r="S54" s="6">
        <v>4</v>
      </c>
      <c r="T54" s="6">
        <v>5</v>
      </c>
      <c r="U54" s="6">
        <v>5</v>
      </c>
      <c r="V54" s="6">
        <v>1</v>
      </c>
      <c r="W54" s="6">
        <v>1</v>
      </c>
      <c r="X54" s="6">
        <v>5</v>
      </c>
      <c r="Y54" s="6">
        <v>1</v>
      </c>
      <c r="Z54" s="6">
        <v>5</v>
      </c>
      <c r="AA54" s="6">
        <v>5</v>
      </c>
      <c r="AB54" s="6">
        <v>5</v>
      </c>
      <c r="AC54" s="6">
        <v>5</v>
      </c>
      <c r="AD54" s="6">
        <v>5</v>
      </c>
      <c r="AE54" s="6">
        <v>3</v>
      </c>
      <c r="AF54" s="6">
        <v>5</v>
      </c>
      <c r="AG54" s="6">
        <v>5</v>
      </c>
      <c r="AH54" s="6">
        <v>5</v>
      </c>
      <c r="AI54" s="6">
        <v>5</v>
      </c>
      <c r="AJ54" s="6">
        <v>5</v>
      </c>
      <c r="AK54" s="6">
        <v>5</v>
      </c>
      <c r="AL54" s="10">
        <v>4.875</v>
      </c>
      <c r="AM54" s="10">
        <v>5</v>
      </c>
      <c r="AN54" s="10">
        <v>5</v>
      </c>
      <c r="AO54" s="10">
        <v>5</v>
      </c>
      <c r="AP54" s="10">
        <v>4.5</v>
      </c>
      <c r="AQ54" s="10">
        <v>5</v>
      </c>
      <c r="AR54" s="10">
        <v>2</v>
      </c>
      <c r="AS54" s="10">
        <v>5</v>
      </c>
      <c r="AT54" s="10">
        <v>5</v>
      </c>
      <c r="AU54" s="10">
        <v>4</v>
      </c>
      <c r="AV54" s="10">
        <v>5</v>
      </c>
      <c r="AW54" s="10">
        <v>4.75</v>
      </c>
      <c r="AX54" s="10">
        <v>5</v>
      </c>
      <c r="AY54" s="6">
        <v>0</v>
      </c>
      <c r="AZ54" s="6">
        <v>1</v>
      </c>
      <c r="BA54" s="6"/>
    </row>
    <row r="55" spans="1:53" x14ac:dyDescent="0.45">
      <c r="A55" s="6" t="s">
        <v>187</v>
      </c>
      <c r="B55" s="6">
        <v>1</v>
      </c>
      <c r="C55" s="6">
        <v>1</v>
      </c>
      <c r="D55" s="6">
        <v>1</v>
      </c>
      <c r="E55" s="6">
        <v>40</v>
      </c>
      <c r="F55" s="6">
        <v>10</v>
      </c>
      <c r="G55" s="6">
        <v>3</v>
      </c>
      <c r="H55" s="6"/>
      <c r="I55" s="6">
        <v>1</v>
      </c>
      <c r="J55" s="6">
        <v>2</v>
      </c>
      <c r="K55" s="6"/>
      <c r="L55" s="6">
        <v>1</v>
      </c>
      <c r="M55" s="6">
        <v>2</v>
      </c>
      <c r="N55" s="6">
        <v>4</v>
      </c>
      <c r="O55" s="6">
        <v>4</v>
      </c>
      <c r="P55" s="6">
        <v>3</v>
      </c>
      <c r="Q55" s="6">
        <v>4</v>
      </c>
      <c r="R55" s="6">
        <v>3</v>
      </c>
      <c r="S55" s="6">
        <v>2</v>
      </c>
      <c r="T55" s="6">
        <v>4</v>
      </c>
      <c r="U55" s="6">
        <v>3</v>
      </c>
      <c r="V55" s="6">
        <v>4</v>
      </c>
      <c r="W55" s="6">
        <v>5</v>
      </c>
      <c r="X55" s="6">
        <v>5</v>
      </c>
      <c r="Y55" s="6">
        <v>4</v>
      </c>
      <c r="Z55" s="6">
        <v>4</v>
      </c>
      <c r="AA55" s="6">
        <v>4</v>
      </c>
      <c r="AB55" s="6">
        <v>4</v>
      </c>
      <c r="AC55" s="6">
        <v>4</v>
      </c>
      <c r="AD55" s="6">
        <v>4</v>
      </c>
      <c r="AE55" s="6">
        <v>4</v>
      </c>
      <c r="AF55" s="6">
        <v>3</v>
      </c>
      <c r="AG55" s="6">
        <v>3</v>
      </c>
      <c r="AH55" s="6">
        <v>4</v>
      </c>
      <c r="AI55" s="6">
        <v>4</v>
      </c>
      <c r="AJ55" s="6">
        <v>2</v>
      </c>
      <c r="AK55" s="6">
        <v>3</v>
      </c>
      <c r="AL55" s="10">
        <v>3.375</v>
      </c>
      <c r="AM55" s="10">
        <v>4</v>
      </c>
      <c r="AN55" s="10">
        <v>4</v>
      </c>
      <c r="AO55" s="10">
        <v>3.5</v>
      </c>
      <c r="AP55" s="10">
        <v>2.5</v>
      </c>
      <c r="AQ55" s="10">
        <v>3.5</v>
      </c>
      <c r="AR55" s="10">
        <v>4.5</v>
      </c>
      <c r="AS55" s="10">
        <v>4</v>
      </c>
      <c r="AT55" s="10">
        <v>4</v>
      </c>
      <c r="AU55" s="10">
        <v>4</v>
      </c>
      <c r="AV55" s="10">
        <v>3</v>
      </c>
      <c r="AW55" s="10">
        <v>3.75</v>
      </c>
      <c r="AX55" s="10">
        <v>3.25</v>
      </c>
      <c r="AY55" s="6">
        <v>0</v>
      </c>
      <c r="AZ55" s="6">
        <v>1</v>
      </c>
      <c r="BA55" s="6"/>
    </row>
    <row r="56" spans="1:53" x14ac:dyDescent="0.45">
      <c r="A56" s="6" t="s">
        <v>188</v>
      </c>
      <c r="B56" s="6">
        <v>1</v>
      </c>
      <c r="C56" s="6">
        <v>2</v>
      </c>
      <c r="D56" s="6">
        <v>1</v>
      </c>
      <c r="E56" s="6">
        <v>35</v>
      </c>
      <c r="F56" s="6">
        <v>10</v>
      </c>
      <c r="G56" s="6">
        <v>4</v>
      </c>
      <c r="H56" s="6" t="s">
        <v>189</v>
      </c>
      <c r="I56" s="6">
        <v>4</v>
      </c>
      <c r="J56" s="6">
        <v>3</v>
      </c>
      <c r="K56" s="6"/>
      <c r="L56" s="6">
        <v>4</v>
      </c>
      <c r="M56" s="6">
        <v>3</v>
      </c>
      <c r="N56" s="6">
        <v>3</v>
      </c>
      <c r="O56" s="6">
        <v>4</v>
      </c>
      <c r="P56" s="6">
        <v>4</v>
      </c>
      <c r="Q56" s="6">
        <v>5</v>
      </c>
      <c r="R56" s="6">
        <v>4</v>
      </c>
      <c r="S56" s="6">
        <v>2</v>
      </c>
      <c r="T56" s="6">
        <v>4</v>
      </c>
      <c r="U56" s="6">
        <v>4</v>
      </c>
      <c r="V56" s="6">
        <v>4</v>
      </c>
      <c r="W56" s="6">
        <v>4</v>
      </c>
      <c r="X56" s="6">
        <v>3</v>
      </c>
      <c r="Y56" s="6">
        <v>3</v>
      </c>
      <c r="Z56" s="6">
        <v>4</v>
      </c>
      <c r="AA56" s="6">
        <v>4</v>
      </c>
      <c r="AB56" s="6">
        <v>4</v>
      </c>
      <c r="AC56" s="6">
        <v>4</v>
      </c>
      <c r="AD56" s="6">
        <v>5</v>
      </c>
      <c r="AE56" s="6">
        <v>5</v>
      </c>
      <c r="AF56" s="6">
        <v>5</v>
      </c>
      <c r="AG56" s="6">
        <v>5</v>
      </c>
      <c r="AH56" s="6">
        <v>5</v>
      </c>
      <c r="AI56" s="6">
        <v>5</v>
      </c>
      <c r="AJ56" s="6">
        <v>4</v>
      </c>
      <c r="AK56" s="6">
        <v>4</v>
      </c>
      <c r="AL56" s="10">
        <v>3.75</v>
      </c>
      <c r="AM56" s="10">
        <v>3</v>
      </c>
      <c r="AN56" s="10">
        <v>4</v>
      </c>
      <c r="AO56" s="10">
        <v>4.5</v>
      </c>
      <c r="AP56" s="10">
        <v>3</v>
      </c>
      <c r="AQ56" s="10">
        <v>4</v>
      </c>
      <c r="AR56" s="10">
        <v>3.5</v>
      </c>
      <c r="AS56" s="10">
        <v>4</v>
      </c>
      <c r="AT56" s="10">
        <v>4</v>
      </c>
      <c r="AU56" s="10">
        <v>5</v>
      </c>
      <c r="AV56" s="10">
        <v>5</v>
      </c>
      <c r="AW56" s="10">
        <v>4.5</v>
      </c>
      <c r="AX56" s="10">
        <v>4.5</v>
      </c>
      <c r="AY56" s="6">
        <v>0</v>
      </c>
      <c r="AZ56" s="6">
        <v>1</v>
      </c>
      <c r="BA56" s="6"/>
    </row>
    <row r="57" spans="1:53" x14ac:dyDescent="0.45">
      <c r="A57" s="6" t="s">
        <v>190</v>
      </c>
      <c r="B57" s="6">
        <v>0</v>
      </c>
      <c r="C57" s="6">
        <v>2</v>
      </c>
      <c r="D57" s="6">
        <v>2</v>
      </c>
      <c r="E57" s="6">
        <v>39</v>
      </c>
      <c r="F57" s="6">
        <v>13</v>
      </c>
      <c r="G57" s="6">
        <v>1</v>
      </c>
      <c r="H57" s="6"/>
      <c r="I57" s="6">
        <v>1</v>
      </c>
      <c r="J57" s="6">
        <v>2</v>
      </c>
      <c r="K57" s="6"/>
      <c r="L57" s="6">
        <v>2</v>
      </c>
      <c r="M57" s="6">
        <v>3</v>
      </c>
      <c r="N57" s="6">
        <v>2</v>
      </c>
      <c r="O57" s="6">
        <v>2</v>
      </c>
      <c r="P57" s="6">
        <v>1</v>
      </c>
      <c r="Q57" s="6">
        <v>1</v>
      </c>
      <c r="R57" s="6">
        <v>1</v>
      </c>
      <c r="S57" s="6">
        <v>1</v>
      </c>
      <c r="T57" s="6">
        <v>2</v>
      </c>
      <c r="U57" s="6">
        <v>1</v>
      </c>
      <c r="V57" s="6">
        <v>5</v>
      </c>
      <c r="W57" s="6">
        <v>5</v>
      </c>
      <c r="X57" s="6">
        <v>5</v>
      </c>
      <c r="Y57" s="6">
        <v>5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10">
        <v>1.375</v>
      </c>
      <c r="AM57" s="10">
        <v>2</v>
      </c>
      <c r="AN57" s="10">
        <v>2</v>
      </c>
      <c r="AO57" s="10">
        <v>1</v>
      </c>
      <c r="AP57" s="10">
        <v>1</v>
      </c>
      <c r="AQ57" s="10">
        <v>1.5</v>
      </c>
      <c r="AR57" s="10">
        <v>5</v>
      </c>
      <c r="AS57" s="10"/>
      <c r="AT57" s="10"/>
      <c r="AU57" s="10"/>
      <c r="AV57" s="10"/>
      <c r="AW57" s="10"/>
      <c r="AX57" s="10"/>
      <c r="AY57" s="6"/>
      <c r="AZ57" s="6">
        <v>1</v>
      </c>
      <c r="BA57" s="6"/>
    </row>
    <row r="58" spans="1:53" x14ac:dyDescent="0.45">
      <c r="A58" s="6" t="s">
        <v>191</v>
      </c>
      <c r="B58" s="6">
        <v>0</v>
      </c>
      <c r="C58" s="6">
        <v>1</v>
      </c>
      <c r="D58" s="6">
        <v>1</v>
      </c>
      <c r="E58" s="6">
        <v>59</v>
      </c>
      <c r="F58" s="6">
        <v>12</v>
      </c>
      <c r="G58" s="6">
        <v>2</v>
      </c>
      <c r="H58" s="6"/>
      <c r="I58" s="6">
        <v>3</v>
      </c>
      <c r="J58" s="6">
        <v>2</v>
      </c>
      <c r="K58" s="6"/>
      <c r="L58" s="6">
        <v>1</v>
      </c>
      <c r="M58" s="6">
        <v>1</v>
      </c>
      <c r="N58" s="6">
        <v>3</v>
      </c>
      <c r="O58" s="6">
        <v>4</v>
      </c>
      <c r="P58" s="6">
        <v>2</v>
      </c>
      <c r="Q58" s="6">
        <v>2</v>
      </c>
      <c r="R58" s="6">
        <v>5</v>
      </c>
      <c r="S58" s="6">
        <v>4</v>
      </c>
      <c r="T58" s="6">
        <v>4</v>
      </c>
      <c r="U58" s="6">
        <v>4</v>
      </c>
      <c r="V58" s="6">
        <v>5</v>
      </c>
      <c r="W58" s="6">
        <v>5</v>
      </c>
      <c r="X58" s="6">
        <v>4</v>
      </c>
      <c r="Y58" s="6">
        <v>3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10">
        <v>3.5</v>
      </c>
      <c r="AM58" s="10">
        <v>3</v>
      </c>
      <c r="AN58" s="10">
        <v>4</v>
      </c>
      <c r="AO58" s="10">
        <v>2</v>
      </c>
      <c r="AP58" s="10">
        <v>4.5</v>
      </c>
      <c r="AQ58" s="10">
        <v>4</v>
      </c>
      <c r="AR58" s="10">
        <v>4.25</v>
      </c>
      <c r="AS58" s="10"/>
      <c r="AT58" s="10"/>
      <c r="AU58" s="10"/>
      <c r="AV58" s="10"/>
      <c r="AW58" s="10"/>
      <c r="AX58" s="10"/>
      <c r="AY58" s="6"/>
      <c r="AZ58" s="6">
        <v>1</v>
      </c>
      <c r="BA58" s="6"/>
    </row>
    <row r="59" spans="1:53" x14ac:dyDescent="0.45">
      <c r="A59" s="6" t="s">
        <v>192</v>
      </c>
      <c r="B59" s="6">
        <v>1</v>
      </c>
      <c r="C59" s="6">
        <v>2</v>
      </c>
      <c r="D59" s="6">
        <v>1</v>
      </c>
      <c r="E59" s="6">
        <v>37</v>
      </c>
      <c r="F59" s="6">
        <v>4</v>
      </c>
      <c r="G59" s="6">
        <v>1</v>
      </c>
      <c r="H59" s="6"/>
      <c r="I59" s="6">
        <v>2</v>
      </c>
      <c r="J59" s="6">
        <v>3</v>
      </c>
      <c r="K59" s="6"/>
      <c r="L59" s="6">
        <v>2</v>
      </c>
      <c r="M59" s="6">
        <v>2</v>
      </c>
      <c r="N59" s="6">
        <v>4</v>
      </c>
      <c r="O59" s="6">
        <v>4</v>
      </c>
      <c r="P59" s="6">
        <v>3</v>
      </c>
      <c r="Q59" s="6">
        <v>4</v>
      </c>
      <c r="R59" s="6">
        <v>3</v>
      </c>
      <c r="S59" s="6">
        <v>4</v>
      </c>
      <c r="T59" s="6">
        <v>4</v>
      </c>
      <c r="U59" s="6">
        <v>4</v>
      </c>
      <c r="V59" s="6">
        <v>4</v>
      </c>
      <c r="W59" s="6">
        <v>3</v>
      </c>
      <c r="X59" s="6">
        <v>3</v>
      </c>
      <c r="Y59" s="6">
        <v>3</v>
      </c>
      <c r="Z59" s="6">
        <v>3</v>
      </c>
      <c r="AA59" s="6">
        <v>4</v>
      </c>
      <c r="AB59" s="6">
        <v>3</v>
      </c>
      <c r="AC59" s="6">
        <v>3</v>
      </c>
      <c r="AD59" s="6">
        <v>3</v>
      </c>
      <c r="AE59" s="6">
        <v>3</v>
      </c>
      <c r="AF59" s="6">
        <v>3</v>
      </c>
      <c r="AG59" s="6">
        <v>3</v>
      </c>
      <c r="AH59" s="6">
        <v>4</v>
      </c>
      <c r="AI59" s="6">
        <v>3</v>
      </c>
      <c r="AJ59" s="6">
        <v>3</v>
      </c>
      <c r="AK59" s="6">
        <v>3</v>
      </c>
      <c r="AL59" s="10">
        <v>3.75</v>
      </c>
      <c r="AM59" s="10">
        <v>4</v>
      </c>
      <c r="AN59" s="10">
        <v>4</v>
      </c>
      <c r="AO59" s="10">
        <v>3.5</v>
      </c>
      <c r="AP59" s="10">
        <v>3.5</v>
      </c>
      <c r="AQ59" s="10">
        <v>4</v>
      </c>
      <c r="AR59" s="10">
        <v>3.25</v>
      </c>
      <c r="AS59" s="10">
        <v>3.5</v>
      </c>
      <c r="AT59" s="10">
        <v>3</v>
      </c>
      <c r="AU59" s="10">
        <v>3</v>
      </c>
      <c r="AV59" s="10">
        <v>3</v>
      </c>
      <c r="AW59" s="10">
        <v>3.125</v>
      </c>
      <c r="AX59" s="10">
        <v>3.25</v>
      </c>
      <c r="AY59" s="6">
        <v>0</v>
      </c>
      <c r="AZ59" s="6">
        <v>1</v>
      </c>
      <c r="BA59" s="6"/>
    </row>
    <row r="60" spans="1:53" x14ac:dyDescent="0.45">
      <c r="A60" s="6" t="s">
        <v>193</v>
      </c>
      <c r="B60" s="6">
        <v>0</v>
      </c>
      <c r="C60" s="6">
        <v>1</v>
      </c>
      <c r="D60" s="6">
        <v>1</v>
      </c>
      <c r="E60" s="6">
        <v>63</v>
      </c>
      <c r="F60" s="6">
        <v>36</v>
      </c>
      <c r="G60" s="6">
        <v>3</v>
      </c>
      <c r="H60" s="6"/>
      <c r="I60" s="6">
        <v>3</v>
      </c>
      <c r="J60" s="6">
        <v>2</v>
      </c>
      <c r="K60" s="6"/>
      <c r="L60" s="6">
        <v>2</v>
      </c>
      <c r="M60" s="6">
        <v>2</v>
      </c>
      <c r="N60" s="6">
        <v>4</v>
      </c>
      <c r="O60" s="6">
        <v>4</v>
      </c>
      <c r="P60" s="6">
        <v>3</v>
      </c>
      <c r="Q60" s="6">
        <v>4</v>
      </c>
      <c r="R60" s="6">
        <v>3</v>
      </c>
      <c r="S60" s="6">
        <v>3</v>
      </c>
      <c r="T60" s="6">
        <v>4</v>
      </c>
      <c r="U60" s="6">
        <v>3</v>
      </c>
      <c r="V60" s="6">
        <v>3</v>
      </c>
      <c r="W60" s="6">
        <v>3</v>
      </c>
      <c r="X60" s="6">
        <v>4</v>
      </c>
      <c r="Y60" s="6">
        <v>4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10">
        <v>3.5</v>
      </c>
      <c r="AM60" s="10">
        <v>4</v>
      </c>
      <c r="AN60" s="10">
        <v>4</v>
      </c>
      <c r="AO60" s="10">
        <v>3.5</v>
      </c>
      <c r="AP60" s="10">
        <v>3</v>
      </c>
      <c r="AQ60" s="10">
        <v>3.5</v>
      </c>
      <c r="AR60" s="10">
        <v>3.5</v>
      </c>
      <c r="AS60" s="10"/>
      <c r="AT60" s="10"/>
      <c r="AU60" s="10"/>
      <c r="AV60" s="10"/>
      <c r="AW60" s="10"/>
      <c r="AX60" s="10"/>
      <c r="AY60" s="6"/>
      <c r="AZ60" s="6">
        <v>1</v>
      </c>
      <c r="BA60" s="6"/>
    </row>
    <row r="61" spans="1:53" x14ac:dyDescent="0.45">
      <c r="A61" s="6" t="s">
        <v>194</v>
      </c>
      <c r="B61" s="6">
        <v>0</v>
      </c>
      <c r="C61" s="6">
        <v>1</v>
      </c>
      <c r="D61" s="6">
        <v>2</v>
      </c>
      <c r="E61" s="6">
        <v>35</v>
      </c>
      <c r="F61" s="6">
        <v>4</v>
      </c>
      <c r="G61" s="6">
        <v>2</v>
      </c>
      <c r="H61" s="6"/>
      <c r="I61" s="6">
        <v>3</v>
      </c>
      <c r="J61" s="6">
        <v>2</v>
      </c>
      <c r="K61" s="6"/>
      <c r="L61" s="6">
        <v>2</v>
      </c>
      <c r="M61" s="6">
        <v>1</v>
      </c>
      <c r="N61" s="6">
        <v>3</v>
      </c>
      <c r="O61" s="6">
        <v>4</v>
      </c>
      <c r="P61" s="6">
        <v>3</v>
      </c>
      <c r="Q61" s="6">
        <v>4</v>
      </c>
      <c r="R61" s="6">
        <v>3</v>
      </c>
      <c r="S61" s="6">
        <v>3</v>
      </c>
      <c r="T61" s="6">
        <v>4</v>
      </c>
      <c r="U61" s="6">
        <v>4</v>
      </c>
      <c r="V61" s="6">
        <v>4</v>
      </c>
      <c r="W61" s="6">
        <v>4</v>
      </c>
      <c r="X61" s="6">
        <v>4</v>
      </c>
      <c r="Y61" s="6">
        <v>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10">
        <v>3.5</v>
      </c>
      <c r="AM61" s="10">
        <v>3</v>
      </c>
      <c r="AN61" s="10">
        <v>4</v>
      </c>
      <c r="AO61" s="10">
        <v>3.5</v>
      </c>
      <c r="AP61" s="10">
        <v>3</v>
      </c>
      <c r="AQ61" s="10">
        <v>4</v>
      </c>
      <c r="AR61" s="10">
        <v>3.75</v>
      </c>
      <c r="AS61" s="10"/>
      <c r="AT61" s="10"/>
      <c r="AU61" s="10"/>
      <c r="AV61" s="10"/>
      <c r="AW61" s="10"/>
      <c r="AX61" s="10"/>
      <c r="AY61" s="6"/>
      <c r="AZ61" s="6">
        <v>1</v>
      </c>
      <c r="BA61" s="6"/>
    </row>
    <row r="62" spans="1:53" x14ac:dyDescent="0.45">
      <c r="A62" s="6" t="s">
        <v>195</v>
      </c>
      <c r="B62" s="6">
        <v>0</v>
      </c>
      <c r="C62" s="6">
        <v>1</v>
      </c>
      <c r="D62" s="6">
        <v>1</v>
      </c>
      <c r="E62" s="6">
        <v>32</v>
      </c>
      <c r="F62" s="6">
        <v>2</v>
      </c>
      <c r="G62" s="6">
        <v>2</v>
      </c>
      <c r="H62" s="6"/>
      <c r="I62" s="6">
        <v>4</v>
      </c>
      <c r="J62" s="6">
        <v>2</v>
      </c>
      <c r="K62" s="6"/>
      <c r="L62" s="6">
        <v>2</v>
      </c>
      <c r="M62" s="6">
        <v>1</v>
      </c>
      <c r="N62" s="6">
        <v>4</v>
      </c>
      <c r="O62" s="6">
        <v>4</v>
      </c>
      <c r="P62" s="6">
        <v>4</v>
      </c>
      <c r="Q62" s="6">
        <v>4</v>
      </c>
      <c r="R62" s="6">
        <v>4</v>
      </c>
      <c r="S62" s="6">
        <v>4</v>
      </c>
      <c r="T62" s="6">
        <v>4</v>
      </c>
      <c r="U62" s="6">
        <v>4</v>
      </c>
      <c r="V62" s="6">
        <v>3</v>
      </c>
      <c r="W62" s="6">
        <v>3</v>
      </c>
      <c r="X62" s="6">
        <v>3</v>
      </c>
      <c r="Y62" s="6">
        <v>3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10">
        <v>4</v>
      </c>
      <c r="AM62" s="10">
        <v>4</v>
      </c>
      <c r="AN62" s="10">
        <v>4</v>
      </c>
      <c r="AO62" s="10">
        <v>4</v>
      </c>
      <c r="AP62" s="10">
        <v>4</v>
      </c>
      <c r="AQ62" s="10">
        <v>4</v>
      </c>
      <c r="AR62" s="10">
        <v>3</v>
      </c>
      <c r="AS62" s="10"/>
      <c r="AT62" s="10"/>
      <c r="AU62" s="10"/>
      <c r="AV62" s="10"/>
      <c r="AW62" s="10"/>
      <c r="AX62" s="10"/>
      <c r="AY62" s="6"/>
      <c r="AZ62" s="6">
        <v>1</v>
      </c>
      <c r="BA62" s="6"/>
    </row>
    <row r="63" spans="1:53" x14ac:dyDescent="0.45">
      <c r="A63" s="6" t="s">
        <v>196</v>
      </c>
      <c r="B63" s="6">
        <v>1</v>
      </c>
      <c r="C63" s="6">
        <v>2</v>
      </c>
      <c r="D63" s="6">
        <v>1</v>
      </c>
      <c r="E63" s="6">
        <v>46</v>
      </c>
      <c r="F63" s="6">
        <v>6</v>
      </c>
      <c r="G63" s="6">
        <v>1</v>
      </c>
      <c r="H63" s="6"/>
      <c r="I63" s="6">
        <v>4</v>
      </c>
      <c r="J63" s="6">
        <v>3</v>
      </c>
      <c r="K63" s="6"/>
      <c r="L63" s="6">
        <v>4</v>
      </c>
      <c r="M63" s="6">
        <v>2</v>
      </c>
      <c r="N63" s="6">
        <v>3</v>
      </c>
      <c r="O63" s="6">
        <v>3</v>
      </c>
      <c r="P63" s="6">
        <v>4</v>
      </c>
      <c r="Q63" s="6">
        <v>2</v>
      </c>
      <c r="R63" s="6">
        <v>2</v>
      </c>
      <c r="S63" s="6">
        <v>2</v>
      </c>
      <c r="T63" s="6">
        <v>3</v>
      </c>
      <c r="U63" s="6">
        <v>3</v>
      </c>
      <c r="V63" s="6">
        <v>2</v>
      </c>
      <c r="W63" s="6">
        <v>2</v>
      </c>
      <c r="X63" s="6">
        <v>2</v>
      </c>
      <c r="Y63" s="6">
        <v>2</v>
      </c>
      <c r="Z63" s="6">
        <v>3</v>
      </c>
      <c r="AA63" s="6">
        <v>3</v>
      </c>
      <c r="AB63" s="6">
        <v>3</v>
      </c>
      <c r="AC63" s="6">
        <v>4</v>
      </c>
      <c r="AD63" s="6">
        <v>4</v>
      </c>
      <c r="AE63" s="6">
        <v>4</v>
      </c>
      <c r="AF63" s="6">
        <v>4</v>
      </c>
      <c r="AG63" s="6">
        <v>5</v>
      </c>
      <c r="AH63" s="6">
        <v>5</v>
      </c>
      <c r="AI63" s="6">
        <v>5</v>
      </c>
      <c r="AJ63" s="6">
        <v>5</v>
      </c>
      <c r="AK63" s="6">
        <v>4</v>
      </c>
      <c r="AL63" s="10">
        <v>2.75</v>
      </c>
      <c r="AM63" s="10">
        <v>3</v>
      </c>
      <c r="AN63" s="10">
        <v>3</v>
      </c>
      <c r="AO63" s="10">
        <v>3</v>
      </c>
      <c r="AP63" s="10">
        <v>2</v>
      </c>
      <c r="AQ63" s="10">
        <v>3</v>
      </c>
      <c r="AR63" s="10">
        <v>2</v>
      </c>
      <c r="AS63" s="10">
        <v>3</v>
      </c>
      <c r="AT63" s="10">
        <v>3.5</v>
      </c>
      <c r="AU63" s="10">
        <v>4</v>
      </c>
      <c r="AV63" s="10">
        <v>4.5</v>
      </c>
      <c r="AW63" s="10">
        <v>3.75</v>
      </c>
      <c r="AX63" s="10">
        <v>4.75</v>
      </c>
      <c r="AY63" s="6">
        <v>0</v>
      </c>
      <c r="AZ63" s="6">
        <v>1</v>
      </c>
      <c r="BA63" s="6"/>
    </row>
    <row r="64" spans="1:53" x14ac:dyDescent="0.45">
      <c r="A64" s="6" t="s">
        <v>197</v>
      </c>
      <c r="B64" s="6">
        <v>0</v>
      </c>
      <c r="C64" s="6">
        <v>1</v>
      </c>
      <c r="D64" s="6">
        <v>1</v>
      </c>
      <c r="E64" s="6">
        <v>61</v>
      </c>
      <c r="F64" s="6">
        <v>30</v>
      </c>
      <c r="G64" s="6">
        <v>3</v>
      </c>
      <c r="H64" s="6"/>
      <c r="I64" s="6">
        <v>4</v>
      </c>
      <c r="J64" s="6">
        <v>2</v>
      </c>
      <c r="K64" s="6"/>
      <c r="L64" s="6">
        <v>2</v>
      </c>
      <c r="M64" s="6">
        <v>1</v>
      </c>
      <c r="N64" s="6">
        <v>4</v>
      </c>
      <c r="O64" s="6">
        <v>4</v>
      </c>
      <c r="P64" s="6">
        <v>3</v>
      </c>
      <c r="Q64" s="6">
        <v>4</v>
      </c>
      <c r="R64" s="6">
        <v>4</v>
      </c>
      <c r="S64" s="6">
        <v>3</v>
      </c>
      <c r="T64" s="6">
        <v>4</v>
      </c>
      <c r="U64" s="6">
        <v>4</v>
      </c>
      <c r="V64" s="6">
        <v>3</v>
      </c>
      <c r="W64" s="6">
        <v>4</v>
      </c>
      <c r="X64" s="6">
        <v>4</v>
      </c>
      <c r="Y64" s="6">
        <v>4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10">
        <v>3.75</v>
      </c>
      <c r="AM64" s="10">
        <v>4</v>
      </c>
      <c r="AN64" s="10">
        <v>4</v>
      </c>
      <c r="AO64" s="10">
        <v>3.5</v>
      </c>
      <c r="AP64" s="10">
        <v>3.5</v>
      </c>
      <c r="AQ64" s="10">
        <v>4</v>
      </c>
      <c r="AR64" s="10">
        <v>3.75</v>
      </c>
      <c r="AS64" s="10"/>
      <c r="AT64" s="10"/>
      <c r="AU64" s="10"/>
      <c r="AV64" s="10"/>
      <c r="AW64" s="10"/>
      <c r="AX64" s="10"/>
      <c r="AY64" s="6"/>
      <c r="AZ64" s="6">
        <v>1</v>
      </c>
      <c r="BA64" s="6"/>
    </row>
    <row r="65" spans="1:53" x14ac:dyDescent="0.45">
      <c r="A65" s="6" t="s">
        <v>198</v>
      </c>
      <c r="B65" s="6">
        <v>0</v>
      </c>
      <c r="C65" s="6">
        <v>2</v>
      </c>
      <c r="D65" s="6">
        <v>1</v>
      </c>
      <c r="E65" s="6">
        <v>39</v>
      </c>
      <c r="F65" s="6">
        <v>2</v>
      </c>
      <c r="G65" s="6">
        <v>1</v>
      </c>
      <c r="H65" s="6"/>
      <c r="I65" s="6">
        <v>3</v>
      </c>
      <c r="J65" s="6">
        <v>3</v>
      </c>
      <c r="K65" s="6"/>
      <c r="L65" s="6">
        <v>2</v>
      </c>
      <c r="M65" s="6">
        <v>1</v>
      </c>
      <c r="N65" s="6">
        <v>4</v>
      </c>
      <c r="O65" s="6">
        <v>4</v>
      </c>
      <c r="P65" s="6">
        <v>4</v>
      </c>
      <c r="Q65" s="6">
        <v>4</v>
      </c>
      <c r="R65" s="6">
        <v>3</v>
      </c>
      <c r="S65" s="6">
        <v>2</v>
      </c>
      <c r="T65" s="6">
        <v>4</v>
      </c>
      <c r="U65" s="6">
        <v>3</v>
      </c>
      <c r="V65" s="6">
        <v>4</v>
      </c>
      <c r="W65" s="6">
        <v>4</v>
      </c>
      <c r="X65" s="6">
        <v>4</v>
      </c>
      <c r="Y65" s="6">
        <v>4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10">
        <v>3.5</v>
      </c>
      <c r="AM65" s="10">
        <v>4</v>
      </c>
      <c r="AN65" s="10">
        <v>4</v>
      </c>
      <c r="AO65" s="10">
        <v>4</v>
      </c>
      <c r="AP65" s="10">
        <v>2.5</v>
      </c>
      <c r="AQ65" s="10">
        <v>3.5</v>
      </c>
      <c r="AR65" s="10">
        <v>4</v>
      </c>
      <c r="AS65" s="10"/>
      <c r="AT65" s="10"/>
      <c r="AU65" s="10"/>
      <c r="AV65" s="10"/>
      <c r="AW65" s="10"/>
      <c r="AX65" s="10"/>
      <c r="AY65" s="6"/>
      <c r="AZ65" s="6">
        <v>1</v>
      </c>
      <c r="BA65" s="6"/>
    </row>
    <row r="66" spans="1:53" x14ac:dyDescent="0.45">
      <c r="A66" s="6" t="s">
        <v>199</v>
      </c>
      <c r="B66" s="6">
        <v>1</v>
      </c>
      <c r="C66" s="6">
        <v>1</v>
      </c>
      <c r="D66" s="6">
        <v>1</v>
      </c>
      <c r="E66" s="6">
        <v>53</v>
      </c>
      <c r="F66" s="6">
        <v>23</v>
      </c>
      <c r="G66" s="6">
        <v>2</v>
      </c>
      <c r="H66" s="6"/>
      <c r="I66" s="6">
        <v>4</v>
      </c>
      <c r="J66" s="6">
        <v>3</v>
      </c>
      <c r="K66" s="6"/>
      <c r="L66" s="6">
        <v>2</v>
      </c>
      <c r="M66" s="6">
        <v>2</v>
      </c>
      <c r="N66" s="6">
        <v>3</v>
      </c>
      <c r="O66" s="6">
        <v>4</v>
      </c>
      <c r="P66" s="6">
        <v>3</v>
      </c>
      <c r="Q66" s="6">
        <v>3</v>
      </c>
      <c r="R66" s="6">
        <v>3</v>
      </c>
      <c r="S66" s="6">
        <v>3</v>
      </c>
      <c r="T66" s="6">
        <v>4</v>
      </c>
      <c r="U66" s="6">
        <v>4</v>
      </c>
      <c r="V66" s="6">
        <v>3</v>
      </c>
      <c r="W66" s="6">
        <v>3</v>
      </c>
      <c r="X66" s="6">
        <v>5</v>
      </c>
      <c r="Y66" s="6">
        <v>2</v>
      </c>
      <c r="Z66" s="6">
        <v>4</v>
      </c>
      <c r="AA66" s="6">
        <v>1</v>
      </c>
      <c r="AB66" s="6">
        <v>5</v>
      </c>
      <c r="AC66" s="6">
        <v>3</v>
      </c>
      <c r="AD66" s="6">
        <v>3</v>
      </c>
      <c r="AE66" s="6">
        <v>3</v>
      </c>
      <c r="AF66" s="6">
        <v>4</v>
      </c>
      <c r="AG66" s="6">
        <v>3</v>
      </c>
      <c r="AH66" s="6">
        <v>2</v>
      </c>
      <c r="AI66" s="6">
        <v>2</v>
      </c>
      <c r="AJ66" s="6">
        <v>3</v>
      </c>
      <c r="AK66" s="6">
        <v>3</v>
      </c>
      <c r="AL66" s="10">
        <v>3.375</v>
      </c>
      <c r="AM66" s="10">
        <v>3</v>
      </c>
      <c r="AN66" s="10">
        <v>4</v>
      </c>
      <c r="AO66" s="10">
        <v>3</v>
      </c>
      <c r="AP66" s="10">
        <v>3</v>
      </c>
      <c r="AQ66" s="10">
        <v>4</v>
      </c>
      <c r="AR66" s="10">
        <v>3.25</v>
      </c>
      <c r="AS66" s="10">
        <v>2.5</v>
      </c>
      <c r="AT66" s="10">
        <v>4</v>
      </c>
      <c r="AU66" s="10">
        <v>3</v>
      </c>
      <c r="AV66" s="10">
        <v>3.5</v>
      </c>
      <c r="AW66" s="10">
        <v>3.25</v>
      </c>
      <c r="AX66" s="10">
        <v>2.5</v>
      </c>
      <c r="AY66" s="6">
        <v>0</v>
      </c>
      <c r="AZ66" s="6">
        <v>1</v>
      </c>
      <c r="BA66" s="6"/>
    </row>
    <row r="67" spans="1:53" x14ac:dyDescent="0.45">
      <c r="A67" s="6" t="s">
        <v>200</v>
      </c>
      <c r="B67" s="6">
        <v>0</v>
      </c>
      <c r="C67" s="6">
        <v>1</v>
      </c>
      <c r="D67" s="6">
        <v>2</v>
      </c>
      <c r="E67" s="6">
        <v>50</v>
      </c>
      <c r="F67" s="6">
        <v>26</v>
      </c>
      <c r="G67" s="6">
        <v>1</v>
      </c>
      <c r="H67" s="6"/>
      <c r="I67" s="6">
        <v>1</v>
      </c>
      <c r="J67" s="6">
        <v>2</v>
      </c>
      <c r="K67" s="6"/>
      <c r="L67" s="6">
        <v>2</v>
      </c>
      <c r="M67" s="6">
        <v>3</v>
      </c>
      <c r="N67" s="6">
        <v>3</v>
      </c>
      <c r="O67" s="6">
        <v>3</v>
      </c>
      <c r="P67" s="6">
        <v>3</v>
      </c>
      <c r="Q67" s="6">
        <v>3</v>
      </c>
      <c r="R67" s="6">
        <v>3</v>
      </c>
      <c r="S67" s="6">
        <v>3</v>
      </c>
      <c r="T67" s="6">
        <v>3</v>
      </c>
      <c r="U67" s="6">
        <v>3</v>
      </c>
      <c r="V67" s="6">
        <v>5</v>
      </c>
      <c r="W67" s="6">
        <v>4</v>
      </c>
      <c r="X67" s="6">
        <v>4</v>
      </c>
      <c r="Y67" s="6">
        <v>4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10">
        <v>3</v>
      </c>
      <c r="AM67" s="10">
        <v>3</v>
      </c>
      <c r="AN67" s="10">
        <v>3</v>
      </c>
      <c r="AO67" s="10">
        <v>3</v>
      </c>
      <c r="AP67" s="10">
        <v>3</v>
      </c>
      <c r="AQ67" s="10">
        <v>3</v>
      </c>
      <c r="AR67" s="10">
        <v>4.25</v>
      </c>
      <c r="AS67" s="10"/>
      <c r="AT67" s="10"/>
      <c r="AU67" s="10"/>
      <c r="AV67" s="10"/>
      <c r="AW67" s="10"/>
      <c r="AX67" s="10"/>
      <c r="AY67" s="6"/>
      <c r="AZ67" s="6">
        <v>1</v>
      </c>
      <c r="BA67" s="6"/>
    </row>
    <row r="68" spans="1:53" x14ac:dyDescent="0.45">
      <c r="A68" s="6" t="s">
        <v>201</v>
      </c>
      <c r="B68" s="6">
        <v>0</v>
      </c>
      <c r="C68" s="6">
        <v>1</v>
      </c>
      <c r="D68" s="6">
        <v>1</v>
      </c>
      <c r="E68" s="6">
        <v>54</v>
      </c>
      <c r="F68" s="6">
        <v>5</v>
      </c>
      <c r="G68" s="6">
        <v>2</v>
      </c>
      <c r="H68" s="6"/>
      <c r="I68" s="6">
        <v>3</v>
      </c>
      <c r="J68" s="6">
        <v>2</v>
      </c>
      <c r="K68" s="6"/>
      <c r="L68" s="6">
        <v>2</v>
      </c>
      <c r="M68" s="6">
        <v>1</v>
      </c>
      <c r="N68" s="6">
        <v>3</v>
      </c>
      <c r="O68" s="6">
        <v>5</v>
      </c>
      <c r="P68" s="6">
        <v>4</v>
      </c>
      <c r="Q68" s="6">
        <v>4</v>
      </c>
      <c r="R68" s="6">
        <v>4</v>
      </c>
      <c r="S68" s="6">
        <v>4</v>
      </c>
      <c r="T68" s="6">
        <v>4</v>
      </c>
      <c r="U68" s="6">
        <v>5</v>
      </c>
      <c r="V68" s="6">
        <v>5</v>
      </c>
      <c r="W68" s="6">
        <v>5</v>
      </c>
      <c r="X68" s="6">
        <v>5</v>
      </c>
      <c r="Y68" s="6">
        <v>5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10">
        <v>4.125</v>
      </c>
      <c r="AM68" s="10">
        <v>3</v>
      </c>
      <c r="AN68" s="10">
        <v>5</v>
      </c>
      <c r="AO68" s="10">
        <v>4</v>
      </c>
      <c r="AP68" s="10">
        <v>4</v>
      </c>
      <c r="AQ68" s="10">
        <v>4.5</v>
      </c>
      <c r="AR68" s="10">
        <v>5</v>
      </c>
      <c r="AS68" s="10"/>
      <c r="AT68" s="10"/>
      <c r="AU68" s="10"/>
      <c r="AV68" s="10"/>
      <c r="AW68" s="10"/>
      <c r="AX68" s="10"/>
      <c r="AY68" s="6"/>
      <c r="AZ68" s="6">
        <v>1</v>
      </c>
      <c r="BA68" s="6"/>
    </row>
    <row r="69" spans="1:53" x14ac:dyDescent="0.45">
      <c r="A69" s="6" t="s">
        <v>202</v>
      </c>
      <c r="B69" s="6">
        <v>0</v>
      </c>
      <c r="C69" s="6">
        <v>2</v>
      </c>
      <c r="D69" s="6">
        <v>1</v>
      </c>
      <c r="E69" s="6">
        <v>45</v>
      </c>
      <c r="F69" s="6">
        <v>21</v>
      </c>
      <c r="G69" s="6">
        <v>1</v>
      </c>
      <c r="H69" s="6"/>
      <c r="I69" s="6">
        <v>4</v>
      </c>
      <c r="J69" s="6">
        <v>2</v>
      </c>
      <c r="K69" s="6"/>
      <c r="L69" s="6">
        <v>2</v>
      </c>
      <c r="M69" s="6">
        <v>2</v>
      </c>
      <c r="N69" s="6">
        <v>3</v>
      </c>
      <c r="O69" s="6">
        <v>3</v>
      </c>
      <c r="P69" s="6">
        <v>3</v>
      </c>
      <c r="Q69" s="6">
        <v>4</v>
      </c>
      <c r="R69" s="6">
        <v>4</v>
      </c>
      <c r="S69" s="6">
        <v>2</v>
      </c>
      <c r="T69" s="6">
        <v>2</v>
      </c>
      <c r="U69" s="6">
        <v>3</v>
      </c>
      <c r="V69" s="6">
        <v>5</v>
      </c>
      <c r="W69" s="6">
        <v>5</v>
      </c>
      <c r="X69" s="6">
        <v>5</v>
      </c>
      <c r="Y69" s="6">
        <v>5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10">
        <v>3</v>
      </c>
      <c r="AM69" s="10">
        <v>3</v>
      </c>
      <c r="AN69" s="10">
        <v>3</v>
      </c>
      <c r="AO69" s="10">
        <v>3.5</v>
      </c>
      <c r="AP69" s="10">
        <v>3</v>
      </c>
      <c r="AQ69" s="10">
        <v>2.5</v>
      </c>
      <c r="AR69" s="10">
        <v>5</v>
      </c>
      <c r="AS69" s="10"/>
      <c r="AT69" s="10"/>
      <c r="AU69" s="10"/>
      <c r="AV69" s="10"/>
      <c r="AW69" s="10"/>
      <c r="AX69" s="10"/>
      <c r="AY69" s="6"/>
      <c r="AZ69" s="6">
        <v>1</v>
      </c>
      <c r="BA69" s="6"/>
    </row>
    <row r="70" spans="1:53" x14ac:dyDescent="0.45">
      <c r="A70" s="6" t="s">
        <v>203</v>
      </c>
      <c r="B70" s="6">
        <v>0</v>
      </c>
      <c r="C70" s="6">
        <v>1</v>
      </c>
      <c r="D70" s="6">
        <v>1</v>
      </c>
      <c r="E70" s="6">
        <v>67</v>
      </c>
      <c r="F70" s="6">
        <v>10</v>
      </c>
      <c r="G70" s="6">
        <v>2</v>
      </c>
      <c r="H70" s="6"/>
      <c r="I70" s="6">
        <v>4</v>
      </c>
      <c r="J70" s="6">
        <v>2</v>
      </c>
      <c r="K70" s="6"/>
      <c r="L70" s="6">
        <v>2</v>
      </c>
      <c r="M70" s="6">
        <v>2</v>
      </c>
      <c r="N70" s="6">
        <v>3</v>
      </c>
      <c r="O70" s="6">
        <v>4</v>
      </c>
      <c r="P70" s="6">
        <v>2</v>
      </c>
      <c r="Q70" s="6">
        <v>3</v>
      </c>
      <c r="R70" s="6">
        <v>2</v>
      </c>
      <c r="S70" s="6">
        <v>3</v>
      </c>
      <c r="T70" s="6">
        <v>4</v>
      </c>
      <c r="U70" s="6">
        <v>3</v>
      </c>
      <c r="V70" s="6">
        <v>4</v>
      </c>
      <c r="W70" s="6">
        <v>4</v>
      </c>
      <c r="X70" s="6">
        <v>4</v>
      </c>
      <c r="Y70" s="6">
        <v>3</v>
      </c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10">
        <v>3</v>
      </c>
      <c r="AM70" s="10">
        <v>3</v>
      </c>
      <c r="AN70" s="10">
        <v>4</v>
      </c>
      <c r="AO70" s="10">
        <v>2.5</v>
      </c>
      <c r="AP70" s="10">
        <v>2.5</v>
      </c>
      <c r="AQ70" s="10">
        <v>3.5</v>
      </c>
      <c r="AR70" s="10">
        <v>3.75</v>
      </c>
      <c r="AS70" s="10"/>
      <c r="AT70" s="10"/>
      <c r="AU70" s="10"/>
      <c r="AV70" s="10"/>
      <c r="AW70" s="10"/>
      <c r="AX70" s="10"/>
      <c r="AY70" s="6"/>
      <c r="AZ70" s="6">
        <v>1</v>
      </c>
      <c r="BA70" s="6"/>
    </row>
    <row r="71" spans="1:53" x14ac:dyDescent="0.45">
      <c r="A71" s="6" t="s">
        <v>204</v>
      </c>
      <c r="B71" s="6">
        <v>1</v>
      </c>
      <c r="C71" s="6">
        <v>2</v>
      </c>
      <c r="D71" s="6">
        <v>1</v>
      </c>
      <c r="E71" s="6">
        <v>33</v>
      </c>
      <c r="F71" s="6">
        <v>6</v>
      </c>
      <c r="G71" s="6">
        <v>2</v>
      </c>
      <c r="H71" s="6"/>
      <c r="I71" s="6">
        <v>3</v>
      </c>
      <c r="J71" s="6">
        <v>3</v>
      </c>
      <c r="K71" s="6"/>
      <c r="L71" s="6">
        <v>4</v>
      </c>
      <c r="M71" s="6">
        <v>2</v>
      </c>
      <c r="N71" s="6">
        <v>5</v>
      </c>
      <c r="O71" s="6">
        <v>5</v>
      </c>
      <c r="P71" s="6">
        <v>5</v>
      </c>
      <c r="Q71" s="6">
        <v>5</v>
      </c>
      <c r="R71" s="6">
        <v>4</v>
      </c>
      <c r="S71" s="6">
        <v>2</v>
      </c>
      <c r="T71" s="6">
        <v>3</v>
      </c>
      <c r="U71" s="6">
        <v>5</v>
      </c>
      <c r="V71" s="6">
        <v>4</v>
      </c>
      <c r="W71" s="6">
        <v>5</v>
      </c>
      <c r="X71" s="6">
        <v>5</v>
      </c>
      <c r="Y71" s="6">
        <v>5</v>
      </c>
      <c r="Z71" s="6">
        <v>1</v>
      </c>
      <c r="AA71" s="6">
        <v>3</v>
      </c>
      <c r="AB71" s="6">
        <v>3</v>
      </c>
      <c r="AC71" s="6">
        <v>3</v>
      </c>
      <c r="AD71" s="6">
        <v>3</v>
      </c>
      <c r="AE71" s="6">
        <v>3</v>
      </c>
      <c r="AF71" s="6">
        <v>3</v>
      </c>
      <c r="AG71" s="6">
        <v>4</v>
      </c>
      <c r="AH71" s="6">
        <v>3</v>
      </c>
      <c r="AI71" s="6">
        <v>4</v>
      </c>
      <c r="AJ71" s="6">
        <v>4</v>
      </c>
      <c r="AK71" s="6">
        <v>4</v>
      </c>
      <c r="AL71" s="10">
        <v>4.25</v>
      </c>
      <c r="AM71" s="10">
        <v>5</v>
      </c>
      <c r="AN71" s="10">
        <v>5</v>
      </c>
      <c r="AO71" s="10">
        <v>5</v>
      </c>
      <c r="AP71" s="10">
        <v>3</v>
      </c>
      <c r="AQ71" s="10">
        <v>4</v>
      </c>
      <c r="AR71" s="10">
        <v>4.75</v>
      </c>
      <c r="AS71" s="10">
        <v>2</v>
      </c>
      <c r="AT71" s="10">
        <v>3</v>
      </c>
      <c r="AU71" s="10">
        <v>3</v>
      </c>
      <c r="AV71" s="10">
        <v>3.5</v>
      </c>
      <c r="AW71" s="10">
        <v>2.875</v>
      </c>
      <c r="AX71" s="10">
        <v>3.75</v>
      </c>
      <c r="AY71" s="6">
        <v>0</v>
      </c>
      <c r="AZ71" s="6">
        <v>1</v>
      </c>
      <c r="BA71" s="6"/>
    </row>
    <row r="72" spans="1:53" x14ac:dyDescent="0.45">
      <c r="A72" s="6" t="s">
        <v>205</v>
      </c>
      <c r="B72" s="6">
        <v>1</v>
      </c>
      <c r="C72" s="6">
        <v>1</v>
      </c>
      <c r="D72" s="6">
        <v>1</v>
      </c>
      <c r="E72" s="6">
        <v>54</v>
      </c>
      <c r="F72" s="6">
        <v>18</v>
      </c>
      <c r="G72" s="6">
        <v>3</v>
      </c>
      <c r="H72" s="6"/>
      <c r="I72" s="6">
        <v>4</v>
      </c>
      <c r="J72" s="6">
        <v>4</v>
      </c>
      <c r="K72" s="6"/>
      <c r="L72" s="6">
        <v>3</v>
      </c>
      <c r="M72" s="6">
        <v>1</v>
      </c>
      <c r="N72" s="6">
        <v>4</v>
      </c>
      <c r="O72" s="6">
        <v>5</v>
      </c>
      <c r="P72" s="6">
        <v>4</v>
      </c>
      <c r="Q72" s="6">
        <v>5</v>
      </c>
      <c r="R72" s="6">
        <v>5</v>
      </c>
      <c r="S72" s="6">
        <v>5</v>
      </c>
      <c r="T72" s="6">
        <v>5</v>
      </c>
      <c r="U72" s="6">
        <v>5</v>
      </c>
      <c r="V72" s="6">
        <v>3</v>
      </c>
      <c r="W72" s="6">
        <v>3</v>
      </c>
      <c r="X72" s="6">
        <v>3</v>
      </c>
      <c r="Y72" s="6">
        <v>3</v>
      </c>
      <c r="Z72" s="6">
        <v>4</v>
      </c>
      <c r="AA72" s="6">
        <v>4</v>
      </c>
      <c r="AB72" s="6">
        <v>4</v>
      </c>
      <c r="AC72" s="6">
        <v>4</v>
      </c>
      <c r="AD72" s="6">
        <v>4</v>
      </c>
      <c r="AE72" s="6">
        <v>4</v>
      </c>
      <c r="AF72" s="6">
        <v>4</v>
      </c>
      <c r="AG72" s="6">
        <v>4</v>
      </c>
      <c r="AH72" s="6">
        <v>4</v>
      </c>
      <c r="AI72" s="6">
        <v>4</v>
      </c>
      <c r="AJ72" s="6">
        <v>4</v>
      </c>
      <c r="AK72" s="6">
        <v>4</v>
      </c>
      <c r="AL72" s="10">
        <v>4.75</v>
      </c>
      <c r="AM72" s="10">
        <v>4</v>
      </c>
      <c r="AN72" s="10">
        <v>5</v>
      </c>
      <c r="AO72" s="10">
        <v>4.5</v>
      </c>
      <c r="AP72" s="10">
        <v>5</v>
      </c>
      <c r="AQ72" s="10">
        <v>5</v>
      </c>
      <c r="AR72" s="10">
        <v>3</v>
      </c>
      <c r="AS72" s="10">
        <v>4</v>
      </c>
      <c r="AT72" s="10">
        <v>4</v>
      </c>
      <c r="AU72" s="10">
        <v>4</v>
      </c>
      <c r="AV72" s="10">
        <v>4</v>
      </c>
      <c r="AW72" s="10">
        <v>4</v>
      </c>
      <c r="AX72" s="10">
        <v>4</v>
      </c>
      <c r="AY72" s="6">
        <v>1</v>
      </c>
      <c r="AZ72" s="6">
        <v>1</v>
      </c>
      <c r="BA72" s="6"/>
    </row>
    <row r="73" spans="1:53" x14ac:dyDescent="0.45">
      <c r="A73" s="6" t="s">
        <v>206</v>
      </c>
      <c r="B73" s="6">
        <v>1</v>
      </c>
      <c r="C73" s="6">
        <v>1</v>
      </c>
      <c r="D73" s="6">
        <v>1</v>
      </c>
      <c r="E73" s="6">
        <v>53</v>
      </c>
      <c r="F73" s="6">
        <v>25</v>
      </c>
      <c r="G73" s="6">
        <v>4</v>
      </c>
      <c r="H73" s="6" t="s">
        <v>207</v>
      </c>
      <c r="I73" s="6">
        <v>3</v>
      </c>
      <c r="J73" s="6">
        <v>2</v>
      </c>
      <c r="K73" s="6"/>
      <c r="L73" s="6">
        <v>2</v>
      </c>
      <c r="M73" s="6">
        <v>4</v>
      </c>
      <c r="N73" s="6">
        <v>4</v>
      </c>
      <c r="O73" s="6">
        <v>4</v>
      </c>
      <c r="P73" s="6">
        <v>4</v>
      </c>
      <c r="Q73" s="6">
        <v>4</v>
      </c>
      <c r="R73" s="6">
        <v>4</v>
      </c>
      <c r="S73" s="6">
        <v>4</v>
      </c>
      <c r="T73" s="6">
        <v>4</v>
      </c>
      <c r="U73" s="6">
        <v>5</v>
      </c>
      <c r="V73" s="6">
        <v>2</v>
      </c>
      <c r="W73" s="6">
        <v>2</v>
      </c>
      <c r="X73" s="6">
        <v>2</v>
      </c>
      <c r="Y73" s="6">
        <v>2</v>
      </c>
      <c r="Z73" s="6">
        <v>4</v>
      </c>
      <c r="AA73" s="6">
        <v>4</v>
      </c>
      <c r="AB73" s="6">
        <v>4</v>
      </c>
      <c r="AC73" s="6">
        <v>4</v>
      </c>
      <c r="AD73" s="6">
        <v>4</v>
      </c>
      <c r="AE73" s="6">
        <v>4</v>
      </c>
      <c r="AF73" s="6">
        <v>4</v>
      </c>
      <c r="AG73" s="6">
        <v>4</v>
      </c>
      <c r="AH73" s="6">
        <v>3</v>
      </c>
      <c r="AI73" s="6">
        <v>4</v>
      </c>
      <c r="AJ73" s="6">
        <v>4</v>
      </c>
      <c r="AK73" s="6">
        <v>3</v>
      </c>
      <c r="AL73" s="10">
        <v>4.125</v>
      </c>
      <c r="AM73" s="10">
        <v>4</v>
      </c>
      <c r="AN73" s="10">
        <v>4</v>
      </c>
      <c r="AO73" s="10">
        <v>4</v>
      </c>
      <c r="AP73" s="10">
        <v>4</v>
      </c>
      <c r="AQ73" s="10">
        <v>4.5</v>
      </c>
      <c r="AR73" s="10">
        <v>2</v>
      </c>
      <c r="AS73" s="10">
        <v>4</v>
      </c>
      <c r="AT73" s="10">
        <v>4</v>
      </c>
      <c r="AU73" s="10">
        <v>4</v>
      </c>
      <c r="AV73" s="10">
        <v>4</v>
      </c>
      <c r="AW73" s="10">
        <v>4</v>
      </c>
      <c r="AX73" s="10">
        <v>3.5</v>
      </c>
      <c r="AY73" s="6">
        <v>0</v>
      </c>
      <c r="AZ73" s="6">
        <v>1</v>
      </c>
      <c r="BA73" s="6"/>
    </row>
    <row r="74" spans="1:53" x14ac:dyDescent="0.45">
      <c r="A74" s="6" t="s">
        <v>208</v>
      </c>
      <c r="B74" s="6">
        <v>0</v>
      </c>
      <c r="C74" s="6">
        <v>2</v>
      </c>
      <c r="D74" s="6">
        <v>1</v>
      </c>
      <c r="E74" s="6">
        <v>37</v>
      </c>
      <c r="F74" s="6">
        <v>2</v>
      </c>
      <c r="G74" s="6">
        <v>4</v>
      </c>
      <c r="H74" s="6" t="s">
        <v>209</v>
      </c>
      <c r="I74" s="6">
        <v>4</v>
      </c>
      <c r="J74" s="6">
        <v>2</v>
      </c>
      <c r="K74" s="6"/>
      <c r="L74" s="6">
        <v>4</v>
      </c>
      <c r="M74" s="6">
        <v>3</v>
      </c>
      <c r="N74" s="6">
        <v>1</v>
      </c>
      <c r="O74" s="6">
        <v>5</v>
      </c>
      <c r="P74" s="6">
        <v>3</v>
      </c>
      <c r="Q74" s="6">
        <v>1</v>
      </c>
      <c r="R74" s="6">
        <v>5</v>
      </c>
      <c r="S74" s="6">
        <v>2</v>
      </c>
      <c r="T74" s="6">
        <v>3</v>
      </c>
      <c r="U74" s="6">
        <v>2</v>
      </c>
      <c r="V74" s="6">
        <v>5</v>
      </c>
      <c r="W74" s="6">
        <v>5</v>
      </c>
      <c r="X74" s="6">
        <v>5</v>
      </c>
      <c r="Y74" s="6">
        <v>4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10">
        <v>2.75</v>
      </c>
      <c r="AM74" s="10">
        <v>1</v>
      </c>
      <c r="AN74" s="10">
        <v>5</v>
      </c>
      <c r="AO74" s="10">
        <v>2</v>
      </c>
      <c r="AP74" s="10">
        <v>3.5</v>
      </c>
      <c r="AQ74" s="10">
        <v>2.5</v>
      </c>
      <c r="AR74" s="10">
        <v>4.75</v>
      </c>
      <c r="AS74" s="10"/>
      <c r="AT74" s="10"/>
      <c r="AU74" s="10"/>
      <c r="AV74" s="10"/>
      <c r="AW74" s="10"/>
      <c r="AX74" s="10"/>
      <c r="AY74" s="6"/>
      <c r="AZ74" s="6">
        <v>1</v>
      </c>
      <c r="BA74" s="6"/>
    </row>
  </sheetData>
  <autoFilter ref="A1:BA74" xr:uid="{00000000-0009-0000-0000-000003000000}"/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" x14ac:dyDescent="0.45"/>
  <cols>
    <col min="1" max="1" width="16" customWidth="1"/>
    <col min="2" max="2" width="22" customWidth="1"/>
    <col min="3" max="3" width="24" customWidth="1"/>
    <col min="4" max="4" width="60" customWidth="1"/>
    <col min="5" max="5" width="50" customWidth="1"/>
    <col min="6" max="6" width="22" customWidth="1"/>
    <col min="7" max="7" width="36" customWidth="1"/>
    <col min="8" max="8" width="34" customWidth="1"/>
  </cols>
  <sheetData>
    <row r="1" spans="1:8" ht="32" x14ac:dyDescent="0.45">
      <c r="A1" s="4" t="s">
        <v>280</v>
      </c>
      <c r="B1" s="4" t="s">
        <v>281</v>
      </c>
      <c r="C1" s="4" t="s">
        <v>282</v>
      </c>
      <c r="D1" s="4" t="s">
        <v>283</v>
      </c>
      <c r="E1" s="4" t="s">
        <v>284</v>
      </c>
      <c r="F1" s="4" t="s">
        <v>285</v>
      </c>
      <c r="G1" s="4" t="s">
        <v>286</v>
      </c>
      <c r="H1" s="4" t="s">
        <v>287</v>
      </c>
    </row>
    <row r="2" spans="1:8" x14ac:dyDescent="0.45">
      <c r="A2" s="11" t="s">
        <v>42</v>
      </c>
      <c r="B2" s="11" t="s">
        <v>42</v>
      </c>
      <c r="C2" s="11" t="s">
        <v>288</v>
      </c>
      <c r="D2" s="11"/>
      <c r="E2" s="11"/>
      <c r="F2" s="11"/>
      <c r="G2" s="11" t="s">
        <v>289</v>
      </c>
      <c r="H2" s="11" t="s">
        <v>290</v>
      </c>
    </row>
    <row r="3" spans="1:8" ht="32" x14ac:dyDescent="0.45">
      <c r="A3" s="11" t="s">
        <v>46</v>
      </c>
      <c r="B3" s="11" t="s">
        <v>46</v>
      </c>
      <c r="C3" s="11" t="s">
        <v>288</v>
      </c>
      <c r="D3" s="11"/>
      <c r="E3" s="11" t="s">
        <v>291</v>
      </c>
      <c r="F3" s="11"/>
      <c r="G3" s="11" t="s">
        <v>292</v>
      </c>
      <c r="H3" s="11" t="s">
        <v>293</v>
      </c>
    </row>
    <row r="4" spans="1:8" ht="32" x14ac:dyDescent="0.45">
      <c r="A4" s="11" t="s">
        <v>259</v>
      </c>
      <c r="B4" s="11" t="s">
        <v>210</v>
      </c>
      <c r="C4" s="11" t="s">
        <v>294</v>
      </c>
      <c r="D4" s="11" t="s">
        <v>295</v>
      </c>
      <c r="E4" s="11" t="s">
        <v>296</v>
      </c>
      <c r="F4" s="11"/>
      <c r="G4" s="11" t="s">
        <v>297</v>
      </c>
      <c r="H4" s="11" t="s">
        <v>298</v>
      </c>
    </row>
    <row r="5" spans="1:8" ht="32" x14ac:dyDescent="0.45">
      <c r="A5" s="11" t="s">
        <v>260</v>
      </c>
      <c r="B5" s="11" t="s">
        <v>211</v>
      </c>
      <c r="C5" s="11" t="s">
        <v>294</v>
      </c>
      <c r="D5" s="11" t="s">
        <v>299</v>
      </c>
      <c r="E5" s="11" t="s">
        <v>300</v>
      </c>
      <c r="F5" s="11"/>
      <c r="G5" s="11" t="s">
        <v>297</v>
      </c>
      <c r="H5" s="11" t="s">
        <v>301</v>
      </c>
    </row>
    <row r="6" spans="1:8" ht="32" x14ac:dyDescent="0.45">
      <c r="A6" s="11" t="s">
        <v>261</v>
      </c>
      <c r="B6" s="11" t="s">
        <v>212</v>
      </c>
      <c r="C6" s="11" t="s">
        <v>294</v>
      </c>
      <c r="D6" s="11" t="s">
        <v>302</v>
      </c>
      <c r="E6" s="11" t="s">
        <v>303</v>
      </c>
      <c r="F6" s="11"/>
      <c r="G6" s="11" t="s">
        <v>304</v>
      </c>
      <c r="H6" s="11" t="s">
        <v>305</v>
      </c>
    </row>
    <row r="7" spans="1:8" ht="32" x14ac:dyDescent="0.45">
      <c r="A7" s="11" t="s">
        <v>262</v>
      </c>
      <c r="B7" s="11" t="s">
        <v>213</v>
      </c>
      <c r="C7" s="11" t="s">
        <v>294</v>
      </c>
      <c r="D7" s="11" t="s">
        <v>306</v>
      </c>
      <c r="E7" s="11" t="s">
        <v>303</v>
      </c>
      <c r="F7" s="11"/>
      <c r="G7" s="11" t="s">
        <v>304</v>
      </c>
      <c r="H7" s="11" t="s">
        <v>305</v>
      </c>
    </row>
    <row r="8" spans="1:8" ht="32" x14ac:dyDescent="0.45">
      <c r="A8" s="11" t="s">
        <v>263</v>
      </c>
      <c r="B8" s="11" t="s">
        <v>214</v>
      </c>
      <c r="C8" s="11" t="s">
        <v>294</v>
      </c>
      <c r="D8" s="11" t="s">
        <v>307</v>
      </c>
      <c r="E8" s="11" t="s">
        <v>308</v>
      </c>
      <c r="F8" s="11"/>
      <c r="G8" s="11" t="s">
        <v>297</v>
      </c>
      <c r="H8" s="11" t="s">
        <v>309</v>
      </c>
    </row>
    <row r="9" spans="1:8" ht="32" x14ac:dyDescent="0.45">
      <c r="A9" s="11" t="s">
        <v>264</v>
      </c>
      <c r="B9" s="11" t="s">
        <v>215</v>
      </c>
      <c r="C9" s="11" t="s">
        <v>294</v>
      </c>
      <c r="D9" s="11" t="s">
        <v>310</v>
      </c>
      <c r="E9" s="11" t="s">
        <v>311</v>
      </c>
      <c r="F9" s="11"/>
      <c r="G9" s="11" t="s">
        <v>312</v>
      </c>
      <c r="H9" s="11" t="s">
        <v>313</v>
      </c>
    </row>
    <row r="10" spans="1:8" ht="32" x14ac:dyDescent="0.45">
      <c r="A10" s="11" t="s">
        <v>265</v>
      </c>
      <c r="B10" s="11" t="s">
        <v>216</v>
      </c>
      <c r="C10" s="11" t="s">
        <v>294</v>
      </c>
      <c r="D10" s="11" t="s">
        <v>314</v>
      </c>
      <c r="E10" s="11" t="s">
        <v>315</v>
      </c>
      <c r="F10" s="11"/>
      <c r="G10" s="11" t="s">
        <v>297</v>
      </c>
      <c r="H10" s="11" t="s">
        <v>316</v>
      </c>
    </row>
    <row r="11" spans="1:8" ht="48" x14ac:dyDescent="0.45">
      <c r="A11" s="11" t="s">
        <v>266</v>
      </c>
      <c r="B11" s="11" t="s">
        <v>217</v>
      </c>
      <c r="C11" s="11" t="s">
        <v>294</v>
      </c>
      <c r="D11" s="11" t="s">
        <v>317</v>
      </c>
      <c r="E11" s="11" t="s">
        <v>318</v>
      </c>
      <c r="F11" s="11"/>
      <c r="G11" s="11" t="s">
        <v>319</v>
      </c>
      <c r="H11" s="11" t="s">
        <v>320</v>
      </c>
    </row>
    <row r="12" spans="1:8" ht="32" x14ac:dyDescent="0.45">
      <c r="A12" s="11" t="s">
        <v>267</v>
      </c>
      <c r="B12" s="11" t="s">
        <v>218</v>
      </c>
      <c r="C12" s="11" t="s">
        <v>294</v>
      </c>
      <c r="D12" s="11" t="s">
        <v>321</v>
      </c>
      <c r="E12" s="11" t="s">
        <v>311</v>
      </c>
      <c r="F12" s="11"/>
      <c r="G12" s="11" t="s">
        <v>312</v>
      </c>
      <c r="H12" s="11" t="s">
        <v>322</v>
      </c>
    </row>
    <row r="13" spans="1:8" ht="32" x14ac:dyDescent="0.45">
      <c r="A13" s="11" t="s">
        <v>268</v>
      </c>
      <c r="B13" s="11" t="s">
        <v>219</v>
      </c>
      <c r="C13" s="11" t="s">
        <v>294</v>
      </c>
      <c r="D13" s="11" t="s">
        <v>323</v>
      </c>
      <c r="E13" s="11" t="s">
        <v>324</v>
      </c>
      <c r="F13" s="11"/>
      <c r="G13" s="11" t="s">
        <v>319</v>
      </c>
      <c r="H13" s="11" t="s">
        <v>320</v>
      </c>
    </row>
    <row r="14" spans="1:8" ht="32" x14ac:dyDescent="0.45">
      <c r="A14" s="11" t="s">
        <v>269</v>
      </c>
      <c r="B14" s="11" t="s">
        <v>220</v>
      </c>
      <c r="C14" s="11" t="s">
        <v>294</v>
      </c>
      <c r="D14" s="11" t="s">
        <v>325</v>
      </c>
      <c r="E14" s="11" t="s">
        <v>326</v>
      </c>
      <c r="F14" s="11"/>
      <c r="G14" s="11" t="s">
        <v>319</v>
      </c>
      <c r="H14" s="11" t="s">
        <v>327</v>
      </c>
    </row>
    <row r="15" spans="1:8" ht="32" x14ac:dyDescent="0.45">
      <c r="A15" s="11" t="s">
        <v>221</v>
      </c>
      <c r="B15" s="11" t="s">
        <v>221</v>
      </c>
      <c r="C15" s="11" t="s">
        <v>328</v>
      </c>
      <c r="D15" s="11" t="s">
        <v>329</v>
      </c>
      <c r="E15" s="11" t="s">
        <v>330</v>
      </c>
      <c r="F15" s="11" t="s">
        <v>331</v>
      </c>
      <c r="G15" s="11" t="s">
        <v>332</v>
      </c>
      <c r="H15" s="11"/>
    </row>
    <row r="16" spans="1:8" ht="32" x14ac:dyDescent="0.45">
      <c r="A16" s="11" t="s">
        <v>222</v>
      </c>
      <c r="B16" s="11" t="s">
        <v>222</v>
      </c>
      <c r="C16" s="11" t="s">
        <v>328</v>
      </c>
      <c r="D16" s="11" t="s">
        <v>333</v>
      </c>
      <c r="E16" s="11" t="s">
        <v>330</v>
      </c>
      <c r="F16" s="11" t="s">
        <v>334</v>
      </c>
      <c r="G16" s="11" t="s">
        <v>332</v>
      </c>
      <c r="H16" s="11"/>
    </row>
    <row r="17" spans="1:8" ht="32" x14ac:dyDescent="0.45">
      <c r="A17" s="11" t="s">
        <v>223</v>
      </c>
      <c r="B17" s="11" t="s">
        <v>223</v>
      </c>
      <c r="C17" s="11" t="s">
        <v>328</v>
      </c>
      <c r="D17" s="11" t="s">
        <v>335</v>
      </c>
      <c r="E17" s="11" t="s">
        <v>330</v>
      </c>
      <c r="F17" s="11" t="s">
        <v>336</v>
      </c>
      <c r="G17" s="11" t="s">
        <v>332</v>
      </c>
      <c r="H17" s="11"/>
    </row>
    <row r="18" spans="1:8" ht="32" x14ac:dyDescent="0.45">
      <c r="A18" s="11" t="s">
        <v>224</v>
      </c>
      <c r="B18" s="11" t="s">
        <v>224</v>
      </c>
      <c r="C18" s="11" t="s">
        <v>328</v>
      </c>
      <c r="D18" s="11" t="s">
        <v>337</v>
      </c>
      <c r="E18" s="11" t="s">
        <v>330</v>
      </c>
      <c r="F18" s="11" t="s">
        <v>336</v>
      </c>
      <c r="G18" s="11" t="s">
        <v>332</v>
      </c>
      <c r="H18" s="11"/>
    </row>
    <row r="19" spans="1:8" ht="32" x14ac:dyDescent="0.45">
      <c r="A19" s="11" t="s">
        <v>225</v>
      </c>
      <c r="B19" s="11" t="s">
        <v>225</v>
      </c>
      <c r="C19" s="11" t="s">
        <v>328</v>
      </c>
      <c r="D19" s="11" t="s">
        <v>338</v>
      </c>
      <c r="E19" s="11" t="s">
        <v>330</v>
      </c>
      <c r="F19" s="11" t="s">
        <v>339</v>
      </c>
      <c r="G19" s="11" t="s">
        <v>332</v>
      </c>
      <c r="H19" s="11"/>
    </row>
    <row r="20" spans="1:8" ht="32" x14ac:dyDescent="0.45">
      <c r="A20" s="11" t="s">
        <v>226</v>
      </c>
      <c r="B20" s="11" t="s">
        <v>226</v>
      </c>
      <c r="C20" s="11" t="s">
        <v>328</v>
      </c>
      <c r="D20" s="11" t="s">
        <v>340</v>
      </c>
      <c r="E20" s="11" t="s">
        <v>330</v>
      </c>
      <c r="F20" s="11" t="s">
        <v>339</v>
      </c>
      <c r="G20" s="11" t="s">
        <v>332</v>
      </c>
      <c r="H20" s="11"/>
    </row>
    <row r="21" spans="1:8" ht="32" x14ac:dyDescent="0.45">
      <c r="A21" s="11" t="s">
        <v>227</v>
      </c>
      <c r="B21" s="11" t="s">
        <v>227</v>
      </c>
      <c r="C21" s="11" t="s">
        <v>328</v>
      </c>
      <c r="D21" s="11" t="s">
        <v>341</v>
      </c>
      <c r="E21" s="11" t="s">
        <v>330</v>
      </c>
      <c r="F21" s="11" t="s">
        <v>342</v>
      </c>
      <c r="G21" s="11" t="s">
        <v>332</v>
      </c>
      <c r="H21" s="11"/>
    </row>
    <row r="22" spans="1:8" ht="32" x14ac:dyDescent="0.45">
      <c r="A22" s="11" t="s">
        <v>228</v>
      </c>
      <c r="B22" s="11" t="s">
        <v>228</v>
      </c>
      <c r="C22" s="11" t="s">
        <v>328</v>
      </c>
      <c r="D22" s="11" t="s">
        <v>343</v>
      </c>
      <c r="E22" s="11" t="s">
        <v>330</v>
      </c>
      <c r="F22" s="11" t="s">
        <v>342</v>
      </c>
      <c r="G22" s="11" t="s">
        <v>332</v>
      </c>
      <c r="H22" s="11"/>
    </row>
    <row r="23" spans="1:8" ht="32" x14ac:dyDescent="0.45">
      <c r="A23" s="11" t="s">
        <v>229</v>
      </c>
      <c r="B23" s="11" t="s">
        <v>229</v>
      </c>
      <c r="C23" s="11" t="s">
        <v>344</v>
      </c>
      <c r="D23" s="11" t="s">
        <v>345</v>
      </c>
      <c r="E23" s="11" t="s">
        <v>330</v>
      </c>
      <c r="F23" s="11"/>
      <c r="G23" s="11" t="s">
        <v>346</v>
      </c>
      <c r="H23" s="11"/>
    </row>
    <row r="24" spans="1:8" ht="32" x14ac:dyDescent="0.45">
      <c r="A24" s="11" t="s">
        <v>230</v>
      </c>
      <c r="B24" s="11" t="s">
        <v>230</v>
      </c>
      <c r="C24" s="11" t="s">
        <v>344</v>
      </c>
      <c r="D24" s="11" t="s">
        <v>347</v>
      </c>
      <c r="E24" s="11" t="s">
        <v>330</v>
      </c>
      <c r="F24" s="11"/>
      <c r="G24" s="11" t="s">
        <v>346</v>
      </c>
      <c r="H24" s="11"/>
    </row>
    <row r="25" spans="1:8" ht="32" x14ac:dyDescent="0.45">
      <c r="A25" s="11" t="s">
        <v>231</v>
      </c>
      <c r="B25" s="11" t="s">
        <v>231</v>
      </c>
      <c r="C25" s="11" t="s">
        <v>344</v>
      </c>
      <c r="D25" s="11" t="s">
        <v>348</v>
      </c>
      <c r="E25" s="11" t="s">
        <v>330</v>
      </c>
      <c r="F25" s="11"/>
      <c r="G25" s="11" t="s">
        <v>346</v>
      </c>
      <c r="H25" s="11"/>
    </row>
    <row r="26" spans="1:8" ht="32" x14ac:dyDescent="0.45">
      <c r="A26" s="11" t="s">
        <v>232</v>
      </c>
      <c r="B26" s="11" t="s">
        <v>232</v>
      </c>
      <c r="C26" s="11" t="s">
        <v>344</v>
      </c>
      <c r="D26" s="11" t="s">
        <v>349</v>
      </c>
      <c r="E26" s="11" t="s">
        <v>330</v>
      </c>
      <c r="F26" s="11"/>
      <c r="G26" s="11" t="s">
        <v>346</v>
      </c>
      <c r="H26" s="11"/>
    </row>
    <row r="27" spans="1:8" ht="32" x14ac:dyDescent="0.45">
      <c r="A27" s="11" t="s">
        <v>233</v>
      </c>
      <c r="B27" s="11" t="s">
        <v>233</v>
      </c>
      <c r="C27" s="11" t="s">
        <v>350</v>
      </c>
      <c r="D27" s="11" t="s">
        <v>351</v>
      </c>
      <c r="E27" s="11" t="s">
        <v>330</v>
      </c>
      <c r="F27" s="11" t="s">
        <v>352</v>
      </c>
      <c r="G27" s="11" t="s">
        <v>353</v>
      </c>
      <c r="H27" s="11" t="s">
        <v>354</v>
      </c>
    </row>
    <row r="28" spans="1:8" ht="32" x14ac:dyDescent="0.45">
      <c r="A28" s="11" t="s">
        <v>234</v>
      </c>
      <c r="B28" s="11" t="s">
        <v>234</v>
      </c>
      <c r="C28" s="11" t="s">
        <v>350</v>
      </c>
      <c r="D28" s="11" t="s">
        <v>355</v>
      </c>
      <c r="E28" s="11" t="s">
        <v>330</v>
      </c>
      <c r="F28" s="11" t="s">
        <v>352</v>
      </c>
      <c r="G28" s="11" t="s">
        <v>353</v>
      </c>
      <c r="H28" s="11" t="s">
        <v>354</v>
      </c>
    </row>
    <row r="29" spans="1:8" ht="32" x14ac:dyDescent="0.45">
      <c r="A29" s="11" t="s">
        <v>235</v>
      </c>
      <c r="B29" s="11" t="s">
        <v>235</v>
      </c>
      <c r="C29" s="11" t="s">
        <v>350</v>
      </c>
      <c r="D29" s="11" t="s">
        <v>356</v>
      </c>
      <c r="E29" s="11" t="s">
        <v>330</v>
      </c>
      <c r="F29" s="11" t="s">
        <v>357</v>
      </c>
      <c r="G29" s="11" t="s">
        <v>353</v>
      </c>
      <c r="H29" s="11" t="s">
        <v>354</v>
      </c>
    </row>
    <row r="30" spans="1:8" ht="32" x14ac:dyDescent="0.45">
      <c r="A30" s="11" t="s">
        <v>236</v>
      </c>
      <c r="B30" s="11" t="s">
        <v>236</v>
      </c>
      <c r="C30" s="11" t="s">
        <v>350</v>
      </c>
      <c r="D30" s="11" t="s">
        <v>358</v>
      </c>
      <c r="E30" s="11" t="s">
        <v>330</v>
      </c>
      <c r="F30" s="11" t="s">
        <v>357</v>
      </c>
      <c r="G30" s="11" t="s">
        <v>353</v>
      </c>
      <c r="H30" s="11" t="s">
        <v>354</v>
      </c>
    </row>
    <row r="31" spans="1:8" ht="32" x14ac:dyDescent="0.45">
      <c r="A31" s="11" t="s">
        <v>237</v>
      </c>
      <c r="B31" s="11" t="s">
        <v>237</v>
      </c>
      <c r="C31" s="11" t="s">
        <v>350</v>
      </c>
      <c r="D31" s="11" t="s">
        <v>359</v>
      </c>
      <c r="E31" s="11" t="s">
        <v>330</v>
      </c>
      <c r="F31" s="11" t="s">
        <v>360</v>
      </c>
      <c r="G31" s="11" t="s">
        <v>353</v>
      </c>
      <c r="H31" s="11" t="s">
        <v>354</v>
      </c>
    </row>
    <row r="32" spans="1:8" ht="32" x14ac:dyDescent="0.45">
      <c r="A32" s="11" t="s">
        <v>238</v>
      </c>
      <c r="B32" s="11" t="s">
        <v>238</v>
      </c>
      <c r="C32" s="11" t="s">
        <v>350</v>
      </c>
      <c r="D32" s="11" t="s">
        <v>361</v>
      </c>
      <c r="E32" s="11" t="s">
        <v>330</v>
      </c>
      <c r="F32" s="11" t="s">
        <v>360</v>
      </c>
      <c r="G32" s="11" t="s">
        <v>353</v>
      </c>
      <c r="H32" s="11" t="s">
        <v>354</v>
      </c>
    </row>
    <row r="33" spans="1:8" ht="32" x14ac:dyDescent="0.45">
      <c r="A33" s="11" t="s">
        <v>239</v>
      </c>
      <c r="B33" s="11" t="s">
        <v>239</v>
      </c>
      <c r="C33" s="11" t="s">
        <v>350</v>
      </c>
      <c r="D33" s="11" t="s">
        <v>362</v>
      </c>
      <c r="E33" s="11" t="s">
        <v>330</v>
      </c>
      <c r="F33" s="11" t="s">
        <v>363</v>
      </c>
      <c r="G33" s="11" t="s">
        <v>353</v>
      </c>
      <c r="H33" s="11" t="s">
        <v>354</v>
      </c>
    </row>
    <row r="34" spans="1:8" ht="32" x14ac:dyDescent="0.45">
      <c r="A34" s="11" t="s">
        <v>240</v>
      </c>
      <c r="B34" s="11" t="s">
        <v>240</v>
      </c>
      <c r="C34" s="11" t="s">
        <v>350</v>
      </c>
      <c r="D34" s="11" t="s">
        <v>364</v>
      </c>
      <c r="E34" s="11" t="s">
        <v>330</v>
      </c>
      <c r="F34" s="11" t="s">
        <v>363</v>
      </c>
      <c r="G34" s="11" t="s">
        <v>353</v>
      </c>
      <c r="H34" s="11" t="s">
        <v>354</v>
      </c>
    </row>
    <row r="35" spans="1:8" ht="32" x14ac:dyDescent="0.45">
      <c r="A35" s="11" t="s">
        <v>241</v>
      </c>
      <c r="B35" s="11" t="s">
        <v>241</v>
      </c>
      <c r="C35" s="11" t="s">
        <v>365</v>
      </c>
      <c r="D35" s="11" t="s">
        <v>366</v>
      </c>
      <c r="E35" s="11" t="s">
        <v>330</v>
      </c>
      <c r="F35" s="11" t="s">
        <v>257</v>
      </c>
      <c r="G35" s="11" t="s">
        <v>367</v>
      </c>
      <c r="H35" s="11" t="s">
        <v>354</v>
      </c>
    </row>
    <row r="36" spans="1:8" ht="32" x14ac:dyDescent="0.45">
      <c r="A36" s="11" t="s">
        <v>242</v>
      </c>
      <c r="B36" s="11" t="s">
        <v>242</v>
      </c>
      <c r="C36" s="11" t="s">
        <v>365</v>
      </c>
      <c r="D36" s="11" t="s">
        <v>368</v>
      </c>
      <c r="E36" s="11" t="s">
        <v>330</v>
      </c>
      <c r="F36" s="11" t="s">
        <v>257</v>
      </c>
      <c r="G36" s="11" t="s">
        <v>367</v>
      </c>
      <c r="H36" s="11" t="s">
        <v>354</v>
      </c>
    </row>
    <row r="37" spans="1:8" ht="32" x14ac:dyDescent="0.45">
      <c r="A37" s="11" t="s">
        <v>243</v>
      </c>
      <c r="B37" s="11" t="s">
        <v>243</v>
      </c>
      <c r="C37" s="11" t="s">
        <v>365</v>
      </c>
      <c r="D37" s="11" t="s">
        <v>369</v>
      </c>
      <c r="E37" s="11" t="s">
        <v>330</v>
      </c>
      <c r="F37" s="11" t="s">
        <v>257</v>
      </c>
      <c r="G37" s="11" t="s">
        <v>367</v>
      </c>
      <c r="H37" s="11" t="s">
        <v>354</v>
      </c>
    </row>
    <row r="38" spans="1:8" ht="32" x14ac:dyDescent="0.45">
      <c r="A38" s="11" t="s">
        <v>244</v>
      </c>
      <c r="B38" s="11" t="s">
        <v>244</v>
      </c>
      <c r="C38" s="11" t="s">
        <v>365</v>
      </c>
      <c r="D38" s="11" t="s">
        <v>370</v>
      </c>
      <c r="E38" s="11" t="s">
        <v>330</v>
      </c>
      <c r="F38" s="11" t="s">
        <v>257</v>
      </c>
      <c r="G38" s="11" t="s">
        <v>367</v>
      </c>
      <c r="H38" s="11" t="s">
        <v>354</v>
      </c>
    </row>
    <row r="39" spans="1:8" ht="32" x14ac:dyDescent="0.45">
      <c r="A39" s="11" t="s">
        <v>245</v>
      </c>
      <c r="B39" s="11" t="s">
        <v>245</v>
      </c>
      <c r="C39" s="11" t="s">
        <v>371</v>
      </c>
      <c r="D39" s="11" t="s">
        <v>372</v>
      </c>
      <c r="E39" s="11" t="s">
        <v>373</v>
      </c>
      <c r="F39" s="11" t="s">
        <v>374</v>
      </c>
      <c r="G39" s="11" t="s">
        <v>375</v>
      </c>
      <c r="H39" s="11" t="s">
        <v>376</v>
      </c>
    </row>
    <row r="40" spans="1:8" ht="32" x14ac:dyDescent="0.45">
      <c r="A40" s="11" t="s">
        <v>270</v>
      </c>
      <c r="B40" s="11" t="s">
        <v>246</v>
      </c>
      <c r="C40" s="11" t="s">
        <v>371</v>
      </c>
      <c r="D40" s="11" t="s">
        <v>377</v>
      </c>
      <c r="E40" s="11" t="s">
        <v>378</v>
      </c>
      <c r="F40" s="11" t="s">
        <v>379</v>
      </c>
      <c r="G40" s="11" t="s">
        <v>380</v>
      </c>
      <c r="H40" s="11"/>
    </row>
    <row r="41" spans="1:8" ht="32" x14ac:dyDescent="0.45">
      <c r="A41" s="11" t="s">
        <v>271</v>
      </c>
      <c r="B41" s="11" t="s">
        <v>247</v>
      </c>
      <c r="C41" s="11" t="s">
        <v>371</v>
      </c>
      <c r="D41" s="11" t="s">
        <v>381</v>
      </c>
      <c r="E41" s="11" t="s">
        <v>382</v>
      </c>
      <c r="F41" s="11" t="s">
        <v>383</v>
      </c>
      <c r="G41" s="11" t="s">
        <v>380</v>
      </c>
      <c r="H41" s="11"/>
    </row>
    <row r="42" spans="1:8" ht="32" x14ac:dyDescent="0.45">
      <c r="A42" s="11" t="s">
        <v>272</v>
      </c>
      <c r="B42" s="11" t="s">
        <v>248</v>
      </c>
      <c r="C42" s="11" t="s">
        <v>371</v>
      </c>
      <c r="D42" s="11" t="s">
        <v>384</v>
      </c>
      <c r="E42" s="11" t="s">
        <v>385</v>
      </c>
      <c r="F42" s="11" t="s">
        <v>386</v>
      </c>
      <c r="G42" s="11" t="s">
        <v>380</v>
      </c>
      <c r="H42" s="11"/>
    </row>
    <row r="43" spans="1:8" ht="32" x14ac:dyDescent="0.45">
      <c r="A43" s="11" t="s">
        <v>273</v>
      </c>
      <c r="B43" s="11" t="s">
        <v>249</v>
      </c>
      <c r="C43" s="11" t="s">
        <v>371</v>
      </c>
      <c r="D43" s="11" t="s">
        <v>387</v>
      </c>
      <c r="E43" s="11" t="s">
        <v>388</v>
      </c>
      <c r="F43" s="11" t="s">
        <v>389</v>
      </c>
      <c r="G43" s="11" t="s">
        <v>380</v>
      </c>
      <c r="H43" s="11"/>
    </row>
    <row r="44" spans="1:8" ht="32" x14ac:dyDescent="0.45">
      <c r="A44" s="11" t="s">
        <v>274</v>
      </c>
      <c r="B44" s="11" t="s">
        <v>250</v>
      </c>
      <c r="C44" s="11" t="s">
        <v>371</v>
      </c>
      <c r="D44" s="11" t="s">
        <v>390</v>
      </c>
      <c r="E44" s="11" t="s">
        <v>391</v>
      </c>
      <c r="F44" s="11" t="s">
        <v>392</v>
      </c>
      <c r="G44" s="11" t="s">
        <v>380</v>
      </c>
      <c r="H44" s="11"/>
    </row>
    <row r="45" spans="1:8" ht="32" x14ac:dyDescent="0.45">
      <c r="A45" s="11" t="s">
        <v>275</v>
      </c>
      <c r="B45" s="11" t="s">
        <v>251</v>
      </c>
      <c r="C45" s="11" t="s">
        <v>371</v>
      </c>
      <c r="D45" s="11" t="s">
        <v>393</v>
      </c>
      <c r="E45" s="11" t="s">
        <v>394</v>
      </c>
      <c r="F45" s="11" t="s">
        <v>395</v>
      </c>
      <c r="G45" s="11" t="s">
        <v>396</v>
      </c>
      <c r="H45" s="11" t="s">
        <v>397</v>
      </c>
    </row>
    <row r="46" spans="1:8" ht="32" x14ac:dyDescent="0.45">
      <c r="A46" s="11" t="s">
        <v>276</v>
      </c>
      <c r="B46" s="11" t="s">
        <v>252</v>
      </c>
      <c r="C46" s="11" t="s">
        <v>371</v>
      </c>
      <c r="D46" s="11" t="s">
        <v>398</v>
      </c>
      <c r="E46" s="11" t="s">
        <v>399</v>
      </c>
      <c r="F46" s="11" t="s">
        <v>400</v>
      </c>
      <c r="G46" s="11" t="s">
        <v>401</v>
      </c>
      <c r="H46" s="11" t="s">
        <v>402</v>
      </c>
    </row>
    <row r="47" spans="1:8" ht="32" x14ac:dyDescent="0.45">
      <c r="A47" s="11" t="s">
        <v>277</v>
      </c>
      <c r="B47" s="11" t="s">
        <v>253</v>
      </c>
      <c r="C47" s="11" t="s">
        <v>371</v>
      </c>
      <c r="D47" s="11" t="s">
        <v>403</v>
      </c>
      <c r="E47" s="11" t="s">
        <v>404</v>
      </c>
      <c r="F47" s="11" t="s">
        <v>405</v>
      </c>
      <c r="G47" s="11" t="s">
        <v>401</v>
      </c>
      <c r="H47" s="11" t="s">
        <v>402</v>
      </c>
    </row>
    <row r="48" spans="1:8" ht="32" x14ac:dyDescent="0.45">
      <c r="A48" s="11" t="s">
        <v>278</v>
      </c>
      <c r="B48" s="11" t="s">
        <v>254</v>
      </c>
      <c r="C48" s="11" t="s">
        <v>371</v>
      </c>
      <c r="D48" s="11" t="s">
        <v>406</v>
      </c>
      <c r="E48" s="11" t="s">
        <v>407</v>
      </c>
      <c r="F48" s="11" t="s">
        <v>408</v>
      </c>
      <c r="G48" s="11" t="s">
        <v>401</v>
      </c>
      <c r="H48" s="11" t="s">
        <v>402</v>
      </c>
    </row>
    <row r="49" spans="1:8" ht="32" x14ac:dyDescent="0.45">
      <c r="A49" s="11" t="s">
        <v>279</v>
      </c>
      <c r="B49" s="11" t="s">
        <v>255</v>
      </c>
      <c r="C49" s="11" t="s">
        <v>371</v>
      </c>
      <c r="D49" s="11" t="s">
        <v>409</v>
      </c>
      <c r="E49" s="11" t="s">
        <v>410</v>
      </c>
      <c r="F49" s="11" t="s">
        <v>411</v>
      </c>
      <c r="G49" s="11" t="s">
        <v>401</v>
      </c>
      <c r="H49" s="11" t="s">
        <v>402</v>
      </c>
    </row>
    <row r="50" spans="1:8" ht="32" x14ac:dyDescent="0.45">
      <c r="A50" s="11" t="s">
        <v>256</v>
      </c>
      <c r="B50" s="11" t="s">
        <v>256</v>
      </c>
      <c r="C50" s="11" t="s">
        <v>371</v>
      </c>
      <c r="D50" s="11" t="s">
        <v>412</v>
      </c>
      <c r="E50" s="11" t="s">
        <v>413</v>
      </c>
      <c r="F50" s="11" t="s">
        <v>414</v>
      </c>
      <c r="G50" s="11" t="s">
        <v>401</v>
      </c>
      <c r="H50" s="11" t="s">
        <v>402</v>
      </c>
    </row>
    <row r="51" spans="1:8" ht="32" x14ac:dyDescent="0.45">
      <c r="A51" s="11" t="s">
        <v>257</v>
      </c>
      <c r="B51" s="11" t="s">
        <v>257</v>
      </c>
      <c r="C51" s="11" t="s">
        <v>371</v>
      </c>
      <c r="D51" s="11" t="s">
        <v>415</v>
      </c>
      <c r="E51" s="11" t="s">
        <v>416</v>
      </c>
      <c r="F51" s="11" t="s">
        <v>417</v>
      </c>
      <c r="G51" s="11" t="s">
        <v>401</v>
      </c>
      <c r="H51" s="11" t="s">
        <v>402</v>
      </c>
    </row>
    <row r="52" spans="1:8" ht="32" x14ac:dyDescent="0.45">
      <c r="A52" s="11" t="s">
        <v>258</v>
      </c>
      <c r="B52" s="11" t="s">
        <v>258</v>
      </c>
      <c r="C52" s="11" t="s">
        <v>371</v>
      </c>
      <c r="D52" s="11" t="s">
        <v>418</v>
      </c>
      <c r="E52" s="11" t="s">
        <v>419</v>
      </c>
      <c r="F52" s="11"/>
      <c r="G52" s="11" t="s">
        <v>420</v>
      </c>
      <c r="H52" s="11" t="s">
        <v>421</v>
      </c>
    </row>
    <row r="53" spans="1:8" x14ac:dyDescent="0.45">
      <c r="A53" s="11" t="s">
        <v>82</v>
      </c>
      <c r="B53" s="11" t="s">
        <v>82</v>
      </c>
      <c r="C53" s="11" t="s">
        <v>288</v>
      </c>
      <c r="D53" s="11" t="s">
        <v>422</v>
      </c>
      <c r="E53" s="11" t="s">
        <v>423</v>
      </c>
      <c r="F53" s="11"/>
      <c r="G53" s="11" t="s">
        <v>424</v>
      </c>
      <c r="H53" s="11"/>
    </row>
    <row r="54" spans="1:8" x14ac:dyDescent="0.45">
      <c r="A54" s="11" t="s">
        <v>83</v>
      </c>
      <c r="B54" s="11" t="s">
        <v>83</v>
      </c>
      <c r="C54" s="11" t="s">
        <v>288</v>
      </c>
      <c r="D54" s="11" t="s">
        <v>425</v>
      </c>
      <c r="E54" s="11" t="s">
        <v>426</v>
      </c>
      <c r="F54" s="11"/>
      <c r="G54" s="11" t="s">
        <v>424</v>
      </c>
      <c r="H54" s="11"/>
    </row>
  </sheetData>
  <autoFilter ref="A1:H54" xr:uid="{00000000-0009-0000-0000-000004000000}"/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30" customWidth="1"/>
    <col min="2" max="2" width="34" customWidth="1"/>
    <col min="3" max="4" width="10" customWidth="1"/>
    <col min="5" max="5" width="12" customWidth="1"/>
    <col min="6" max="8" width="10" customWidth="1"/>
    <col min="10" max="10" width="8" customWidth="1"/>
    <col min="11" max="12" width="10" customWidth="1"/>
  </cols>
  <sheetData>
    <row r="1" spans="1:12" ht="17.5" x14ac:dyDescent="0.45">
      <c r="A1" s="1" t="s">
        <v>427</v>
      </c>
      <c r="K1" s="2" t="s">
        <v>428</v>
      </c>
    </row>
    <row r="2" spans="1:12" x14ac:dyDescent="0.45">
      <c r="A2" s="12" t="s">
        <v>429</v>
      </c>
      <c r="J2" s="2" t="s">
        <v>430</v>
      </c>
      <c r="K2" s="13" t="s">
        <v>46</v>
      </c>
      <c r="L2" s="13" t="s">
        <v>82</v>
      </c>
    </row>
    <row r="3" spans="1:12" x14ac:dyDescent="0.45">
      <c r="A3" s="14" t="s">
        <v>431</v>
      </c>
      <c r="K3" s="15">
        <v>1</v>
      </c>
      <c r="L3" s="15">
        <v>1</v>
      </c>
    </row>
    <row r="4" spans="1:12" x14ac:dyDescent="0.45">
      <c r="A4" s="4" t="s">
        <v>432</v>
      </c>
      <c r="B4" s="4" t="s">
        <v>433</v>
      </c>
      <c r="C4" s="4" t="s">
        <v>434</v>
      </c>
      <c r="D4" s="4" t="s">
        <v>435</v>
      </c>
      <c r="E4" s="4" t="s">
        <v>436</v>
      </c>
      <c r="F4" s="4" t="s">
        <v>437</v>
      </c>
      <c r="G4" s="4" t="s">
        <v>438</v>
      </c>
      <c r="H4" s="4" t="s">
        <v>439</v>
      </c>
    </row>
    <row r="5" spans="1:12" x14ac:dyDescent="0.45">
      <c r="A5" s="16" t="s">
        <v>440</v>
      </c>
      <c r="B5" s="16" t="s">
        <v>110</v>
      </c>
      <c r="C5" s="9">
        <f>COUNTIFS(코딩자료!$C$2:$C$74,1,코딩자료!$BA$2:$BA$74,1,코딩자료!$D$2:$D$74,1)</f>
        <v>17</v>
      </c>
      <c r="D5" s="17">
        <f>IFERROR(C5/C7,"")</f>
        <v>0.53125</v>
      </c>
      <c r="E5" s="9">
        <f>COUNTIFS(코딩자료!$C$2:$C$74,0,코딩자료!$BA$2:$BA$74,1,코딩자료!$D$2:$D$74,1)</f>
        <v>27</v>
      </c>
      <c r="F5" s="17">
        <f>IFERROR(E5/E7,"")</f>
        <v>0.69230769230769229</v>
      </c>
      <c r="G5" s="9">
        <f>COUNTIFS(코딩자료!$BA$2:$BA$74,1,코딩자료!$D$2:$D$74,1)</f>
        <v>44</v>
      </c>
      <c r="H5" s="17">
        <f>IFERROR(G5/G7,"")</f>
        <v>0.61971830985915488</v>
      </c>
      <c r="J5" s="2" t="s">
        <v>441</v>
      </c>
      <c r="K5" s="13" t="s">
        <v>46</v>
      </c>
      <c r="L5" s="13" t="s">
        <v>82</v>
      </c>
    </row>
    <row r="6" spans="1:12" x14ac:dyDescent="0.45">
      <c r="A6" s="16"/>
      <c r="B6" s="16" t="s">
        <v>88</v>
      </c>
      <c r="C6" s="9">
        <f>COUNTIFS(코딩자료!$C$2:$C$74,1,코딩자료!$BA$2:$BA$74,1,코딩자료!$D$2:$D$74,2)</f>
        <v>15</v>
      </c>
      <c r="D6" s="17">
        <f>IFERROR(C6/C7,"")</f>
        <v>0.46875</v>
      </c>
      <c r="E6" s="9">
        <f>COUNTIFS(코딩자료!$C$2:$C$74,0,코딩자료!$BA$2:$BA$74,1,코딩자료!$D$2:$D$74,2)</f>
        <v>12</v>
      </c>
      <c r="F6" s="17">
        <f>IFERROR(E6/E7,"")</f>
        <v>0.30769230769230771</v>
      </c>
      <c r="G6" s="9">
        <f>COUNTIFS(코딩자료!$BA$2:$BA$74,1,코딩자료!$D$2:$D$74,2)</f>
        <v>27</v>
      </c>
      <c r="H6" s="17">
        <f>IFERROR(G6/G7,"")</f>
        <v>0.38028169014084506</v>
      </c>
      <c r="K6" s="15">
        <v>0</v>
      </c>
      <c r="L6" s="15">
        <v>1</v>
      </c>
    </row>
    <row r="7" spans="1:12" x14ac:dyDescent="0.45">
      <c r="A7" s="18"/>
      <c r="B7" s="18" t="s">
        <v>442</v>
      </c>
      <c r="C7" s="19">
        <f>COUNTIFS(코딩자료!$C$2:$C$74,1,코딩자료!$BA$2:$BA$74,1,코딩자료!$D$2:$D$74,"&lt;&gt;")</f>
        <v>32</v>
      </c>
      <c r="D7" s="20">
        <f>COUNTIFS(코딩자료!$C$2:$C$74,1,코딩자료!$BA$2:$BA$74,1)-C7</f>
        <v>0</v>
      </c>
      <c r="E7" s="19">
        <f>COUNTIFS(코딩자료!$C$2:$C$74,0,코딩자료!$BA$2:$BA$74,1,코딩자료!$D$2:$D$74,"&lt;&gt;")</f>
        <v>39</v>
      </c>
      <c r="F7" s="20">
        <f>COUNTIFS(코딩자료!$C$2:$C$74,0,코딩자료!$BA$2:$BA$74,1)-E7</f>
        <v>0</v>
      </c>
      <c r="G7" s="19">
        <f>COUNTIFS(코딩자료!$BA$2:$BA$74,1,코딩자료!$D$2:$D$74,"&lt;&gt;")</f>
        <v>71</v>
      </c>
      <c r="H7" s="20">
        <f>COUNTIFS(코딩자료!$BA$2:$BA$74,1)-G7</f>
        <v>0</v>
      </c>
    </row>
    <row r="8" spans="1:12" x14ac:dyDescent="0.45">
      <c r="A8" s="16" t="s">
        <v>443</v>
      </c>
      <c r="B8" s="16" t="s">
        <v>89</v>
      </c>
      <c r="C8" s="9">
        <f>COUNTIFS(코딩자료!$C$2:$C$74,1,코딩자료!$BA$2:$BA$74,1,코딩자료!$E$2:$E$74,1)</f>
        <v>32</v>
      </c>
      <c r="D8" s="17">
        <f>IFERROR(C8/C10,"")</f>
        <v>1</v>
      </c>
      <c r="E8" s="9">
        <f>COUNTIFS(코딩자료!$C$2:$C$74,0,코딩자료!$BA$2:$BA$74,1,코딩자료!$E$2:$E$74,1)</f>
        <v>33</v>
      </c>
      <c r="F8" s="17">
        <f>IFERROR(E8/E10,"")</f>
        <v>0.84615384615384615</v>
      </c>
      <c r="G8" s="9">
        <f>COUNTIFS(코딩자료!$BA$2:$BA$74,1,코딩자료!$E$2:$E$74,1)</f>
        <v>65</v>
      </c>
      <c r="H8" s="17">
        <f>IFERROR(G8/G10,"")</f>
        <v>0.91549295774647887</v>
      </c>
      <c r="J8" s="2" t="s">
        <v>444</v>
      </c>
      <c r="K8" s="13" t="s">
        <v>82</v>
      </c>
    </row>
    <row r="9" spans="1:12" x14ac:dyDescent="0.45">
      <c r="A9" s="16"/>
      <c r="B9" s="16" t="s">
        <v>156</v>
      </c>
      <c r="C9" s="9">
        <f>COUNTIFS(코딩자료!$C$2:$C$74,1,코딩자료!$BA$2:$BA$74,1,코딩자료!$E$2:$E$74,2)</f>
        <v>0</v>
      </c>
      <c r="D9" s="17">
        <f>IFERROR(C9/C10,"")</f>
        <v>0</v>
      </c>
      <c r="E9" s="9">
        <f>COUNTIFS(코딩자료!$C$2:$C$74,0,코딩자료!$BA$2:$BA$74,1,코딩자료!$E$2:$E$74,2)</f>
        <v>6</v>
      </c>
      <c r="F9" s="17">
        <f>IFERROR(E9/E10,"")</f>
        <v>0.15384615384615385</v>
      </c>
      <c r="G9" s="9">
        <f>COUNTIFS(코딩자료!$BA$2:$BA$74,1,코딩자료!$E$2:$E$74,2)</f>
        <v>6</v>
      </c>
      <c r="H9" s="17">
        <f>IFERROR(G9/G10,"")</f>
        <v>8.4507042253521125E-2</v>
      </c>
      <c r="K9" s="15">
        <v>1</v>
      </c>
    </row>
    <row r="10" spans="1:12" x14ac:dyDescent="0.45">
      <c r="A10" s="18"/>
      <c r="B10" s="18" t="s">
        <v>442</v>
      </c>
      <c r="C10" s="19">
        <f>COUNTIFS(코딩자료!$C$2:$C$74,1,코딩자료!$BA$2:$BA$74,1,코딩자료!$E$2:$E$74,"&lt;&gt;")</f>
        <v>32</v>
      </c>
      <c r="D10" s="20">
        <f>COUNTIFS(코딩자료!$C$2:$C$74,1,코딩자료!$BA$2:$BA$74,1)-C10</f>
        <v>0</v>
      </c>
      <c r="E10" s="19">
        <f>COUNTIFS(코딩자료!$C$2:$C$74,0,코딩자료!$BA$2:$BA$74,1,코딩자료!$E$2:$E$74,"&lt;&gt;")</f>
        <v>39</v>
      </c>
      <c r="F10" s="20">
        <f>COUNTIFS(코딩자료!$C$2:$C$74,0,코딩자료!$BA$2:$BA$74,1)-E10</f>
        <v>0</v>
      </c>
      <c r="G10" s="19">
        <f>COUNTIFS(코딩자료!$BA$2:$BA$74,1,코딩자료!$E$2:$E$74,"&lt;&gt;")</f>
        <v>71</v>
      </c>
      <c r="H10" s="20">
        <f>COUNTIFS(코딩자료!$BA$2:$BA$74,1)-G10</f>
        <v>0</v>
      </c>
    </row>
    <row r="11" spans="1:12" x14ac:dyDescent="0.45">
      <c r="A11" s="16" t="s">
        <v>445</v>
      </c>
      <c r="B11" s="16" t="s">
        <v>90</v>
      </c>
      <c r="C11" s="9">
        <f>COUNTIFS(코딩자료!$C$2:$C$74,1,코딩자료!$BA$2:$BA$74,1,코딩자료!$H$2:$H$74,1)</f>
        <v>12</v>
      </c>
      <c r="D11" s="17">
        <f>IFERROR(C11/C15,"")</f>
        <v>0.375</v>
      </c>
      <c r="E11" s="9">
        <f>COUNTIFS(코딩자료!$C$2:$C$74,0,코딩자료!$BA$2:$BA$74,1,코딩자료!$H$2:$H$74,1)</f>
        <v>12</v>
      </c>
      <c r="F11" s="17">
        <f>IFERROR(E11/E15,"")</f>
        <v>0.31578947368421051</v>
      </c>
      <c r="G11" s="9">
        <f>COUNTIFS(코딩자료!$BA$2:$BA$74,1,코딩자료!$H$2:$H$74,1)</f>
        <v>24</v>
      </c>
      <c r="H11" s="17">
        <f>IFERROR(G11/G15,"")</f>
        <v>0.34285714285714286</v>
      </c>
    </row>
    <row r="12" spans="1:12" x14ac:dyDescent="0.45">
      <c r="A12" s="16"/>
      <c r="B12" s="16" t="s">
        <v>124</v>
      </c>
      <c r="C12" s="9">
        <f>COUNTIFS(코딩자료!$C$2:$C$74,1,코딩자료!$BA$2:$BA$74,1,코딩자료!$H$2:$H$74,2)</f>
        <v>7</v>
      </c>
      <c r="D12" s="17">
        <f>IFERROR(C12/C15,"")</f>
        <v>0.21875</v>
      </c>
      <c r="E12" s="9">
        <f>COUNTIFS(코딩자료!$C$2:$C$74,0,코딩자료!$BA$2:$BA$74,1,코딩자료!$H$2:$H$74,2)</f>
        <v>12</v>
      </c>
      <c r="F12" s="17">
        <f>IFERROR(E12/E15,"")</f>
        <v>0.31578947368421051</v>
      </c>
      <c r="G12" s="9">
        <f>COUNTIFS(코딩자료!$BA$2:$BA$74,1,코딩자료!$H$2:$H$74,2)</f>
        <v>19</v>
      </c>
      <c r="H12" s="17">
        <f>IFERROR(G12/G15,"")</f>
        <v>0.27142857142857141</v>
      </c>
    </row>
    <row r="13" spans="1:12" x14ac:dyDescent="0.45">
      <c r="A13" s="16"/>
      <c r="B13" s="16" t="s">
        <v>111</v>
      </c>
      <c r="C13" s="9">
        <f>COUNTIFS(코딩자료!$C$2:$C$74,1,코딩자료!$BA$2:$BA$74,1,코딩자료!$H$2:$H$74,3)</f>
        <v>10</v>
      </c>
      <c r="D13" s="17">
        <f>IFERROR(C13/C15,"")</f>
        <v>0.3125</v>
      </c>
      <c r="E13" s="9">
        <f>COUNTIFS(코딩자료!$C$2:$C$74,0,코딩자료!$BA$2:$BA$74,1,코딩자료!$H$2:$H$74,3)</f>
        <v>12</v>
      </c>
      <c r="F13" s="17">
        <f>IFERROR(E13/E15,"")</f>
        <v>0.31578947368421051</v>
      </c>
      <c r="G13" s="9">
        <f>COUNTIFS(코딩자료!$BA$2:$BA$74,1,코딩자료!$H$2:$H$74,3)</f>
        <v>22</v>
      </c>
      <c r="H13" s="17">
        <f>IFERROR(G13/G15,"")</f>
        <v>0.31428571428571428</v>
      </c>
    </row>
    <row r="14" spans="1:12" x14ac:dyDescent="0.45">
      <c r="A14" s="16"/>
      <c r="B14" s="16" t="s">
        <v>446</v>
      </c>
      <c r="C14" s="9">
        <f>COUNTIFS(코딩자료!$C$2:$C$74,1,코딩자료!$BA$2:$BA$74,1,코딩자료!$H$2:$H$74,4)</f>
        <v>3</v>
      </c>
      <c r="D14" s="17">
        <f>IFERROR(C14/C15,"")</f>
        <v>9.375E-2</v>
      </c>
      <c r="E14" s="9">
        <f>COUNTIFS(코딩자료!$C$2:$C$74,0,코딩자료!$BA$2:$BA$74,1,코딩자료!$H$2:$H$74,4)</f>
        <v>2</v>
      </c>
      <c r="F14" s="17">
        <f>IFERROR(E14/E15,"")</f>
        <v>5.2631578947368418E-2</v>
      </c>
      <c r="G14" s="9">
        <f>COUNTIFS(코딩자료!$BA$2:$BA$74,1,코딩자료!$H$2:$H$74,4)</f>
        <v>5</v>
      </c>
      <c r="H14" s="17">
        <f>IFERROR(G14/G15,"")</f>
        <v>7.1428571428571425E-2</v>
      </c>
    </row>
    <row r="15" spans="1:12" x14ac:dyDescent="0.45">
      <c r="A15" s="18"/>
      <c r="B15" s="18" t="s">
        <v>442</v>
      </c>
      <c r="C15" s="19">
        <f>COUNTIFS(코딩자료!$C$2:$C$74,1,코딩자료!$BA$2:$BA$74,1,코딩자료!$H$2:$H$74,"&lt;&gt;")</f>
        <v>32</v>
      </c>
      <c r="D15" s="20">
        <f>COUNTIFS(코딩자료!$C$2:$C$74,1,코딩자료!$BA$2:$BA$74,1)-C15</f>
        <v>0</v>
      </c>
      <c r="E15" s="19">
        <f>COUNTIFS(코딩자료!$C$2:$C$74,0,코딩자료!$BA$2:$BA$74,1,코딩자료!$H$2:$H$74,"&lt;&gt;")</f>
        <v>38</v>
      </c>
      <c r="F15" s="20">
        <f>COUNTIFS(코딩자료!$C$2:$C$74,0,코딩자료!$BA$2:$BA$74,1)-E15</f>
        <v>1</v>
      </c>
      <c r="G15" s="19">
        <f>COUNTIFS(코딩자료!$BA$2:$BA$74,1,코딩자료!$H$2:$H$74,"&lt;&gt;")</f>
        <v>70</v>
      </c>
      <c r="H15" s="20">
        <f>COUNTIFS(코딩자료!$BA$2:$BA$74,1)-G15</f>
        <v>1</v>
      </c>
    </row>
    <row r="16" spans="1:12" x14ac:dyDescent="0.45">
      <c r="A16" s="16" t="s">
        <v>447</v>
      </c>
      <c r="B16" s="16" t="s">
        <v>100</v>
      </c>
      <c r="C16" s="9">
        <f>COUNTIFS(코딩자료!$C$2:$C$74,1,코딩자료!$BA$2:$BA$74,1,코딩자료!$J$2:$J$74,1)</f>
        <v>2</v>
      </c>
      <c r="D16" s="17">
        <f>IFERROR(C16/C20,"")</f>
        <v>6.25E-2</v>
      </c>
      <c r="E16" s="9">
        <f>COUNTIFS(코딩자료!$C$2:$C$74,0,코딩자료!$BA$2:$BA$74,1,코딩자료!$J$2:$J$74,1)</f>
        <v>5</v>
      </c>
      <c r="F16" s="17">
        <f>IFERROR(E16/E20,"")</f>
        <v>0.12820512820512819</v>
      </c>
      <c r="G16" s="9">
        <f>COUNTIFS(코딩자료!$BA$2:$BA$74,1,코딩자료!$J$2:$J$74,1)</f>
        <v>7</v>
      </c>
      <c r="H16" s="17">
        <f>IFERROR(G16/G20,"")</f>
        <v>9.8591549295774641E-2</v>
      </c>
    </row>
    <row r="17" spans="1:8" x14ac:dyDescent="0.45">
      <c r="A17" s="16"/>
      <c r="B17" s="16" t="s">
        <v>112</v>
      </c>
      <c r="C17" s="9">
        <f>COUNTIFS(코딩자료!$C$2:$C$74,1,코딩자료!$BA$2:$BA$74,1,코딩자료!$J$2:$J$74,2)</f>
        <v>6</v>
      </c>
      <c r="D17" s="17">
        <f>IFERROR(C17/C20,"")</f>
        <v>0.1875</v>
      </c>
      <c r="E17" s="9">
        <f>COUNTIFS(코딩자료!$C$2:$C$74,0,코딩자료!$BA$2:$BA$74,1,코딩자료!$J$2:$J$74,2)</f>
        <v>9</v>
      </c>
      <c r="F17" s="17">
        <f>IFERROR(E17/E20,"")</f>
        <v>0.23076923076923078</v>
      </c>
      <c r="G17" s="9">
        <f>COUNTIFS(코딩자료!$BA$2:$BA$74,1,코딩자료!$J$2:$J$74,2)</f>
        <v>15</v>
      </c>
      <c r="H17" s="17">
        <f>IFERROR(G17/G20,"")</f>
        <v>0.21126760563380281</v>
      </c>
    </row>
    <row r="18" spans="1:8" x14ac:dyDescent="0.45">
      <c r="A18" s="16"/>
      <c r="B18" s="16" t="s">
        <v>91</v>
      </c>
      <c r="C18" s="9">
        <f>COUNTIFS(코딩자료!$C$2:$C$74,1,코딩자료!$BA$2:$BA$74,1,코딩자료!$J$2:$J$74,3)</f>
        <v>15</v>
      </c>
      <c r="D18" s="17">
        <f>IFERROR(C18/C20,"")</f>
        <v>0.46875</v>
      </c>
      <c r="E18" s="9">
        <f>COUNTIFS(코딩자료!$C$2:$C$74,0,코딩자료!$BA$2:$BA$74,1,코딩자료!$J$2:$J$74,3)</f>
        <v>9</v>
      </c>
      <c r="F18" s="17">
        <f>IFERROR(E18/E20,"")</f>
        <v>0.23076923076923078</v>
      </c>
      <c r="G18" s="9">
        <f>COUNTIFS(코딩자료!$BA$2:$BA$74,1,코딩자료!$J$2:$J$74,3)</f>
        <v>24</v>
      </c>
      <c r="H18" s="17">
        <f>IFERROR(G18/G20,"")</f>
        <v>0.3380281690140845</v>
      </c>
    </row>
    <row r="19" spans="1:8" x14ac:dyDescent="0.45">
      <c r="A19" s="16"/>
      <c r="B19" s="16" t="s">
        <v>125</v>
      </c>
      <c r="C19" s="9">
        <f>COUNTIFS(코딩자료!$C$2:$C$74,1,코딩자료!$BA$2:$BA$74,1,코딩자료!$J$2:$J$74,4)</f>
        <v>9</v>
      </c>
      <c r="D19" s="17">
        <f>IFERROR(C19/C20,"")</f>
        <v>0.28125</v>
      </c>
      <c r="E19" s="9">
        <f>COUNTIFS(코딩자료!$C$2:$C$74,0,코딩자료!$BA$2:$BA$74,1,코딩자료!$J$2:$J$74,4)</f>
        <v>16</v>
      </c>
      <c r="F19" s="17">
        <f>IFERROR(E19/E20,"")</f>
        <v>0.41025641025641024</v>
      </c>
      <c r="G19" s="9">
        <f>COUNTIFS(코딩자료!$BA$2:$BA$74,1,코딩자료!$J$2:$J$74,4)</f>
        <v>25</v>
      </c>
      <c r="H19" s="17">
        <f>IFERROR(G19/G20,"")</f>
        <v>0.352112676056338</v>
      </c>
    </row>
    <row r="20" spans="1:8" x14ac:dyDescent="0.45">
      <c r="A20" s="18"/>
      <c r="B20" s="18" t="s">
        <v>442</v>
      </c>
      <c r="C20" s="19">
        <f>COUNTIFS(코딩자료!$C$2:$C$74,1,코딩자료!$BA$2:$BA$74,1,코딩자료!$J$2:$J$74,"&lt;&gt;")</f>
        <v>32</v>
      </c>
      <c r="D20" s="20">
        <f>COUNTIFS(코딩자료!$C$2:$C$74,1,코딩자료!$BA$2:$BA$74,1)-C20</f>
        <v>0</v>
      </c>
      <c r="E20" s="19">
        <f>COUNTIFS(코딩자료!$C$2:$C$74,0,코딩자료!$BA$2:$BA$74,1,코딩자료!$J$2:$J$74,"&lt;&gt;")</f>
        <v>39</v>
      </c>
      <c r="F20" s="20">
        <f>COUNTIFS(코딩자료!$C$2:$C$74,0,코딩자료!$BA$2:$BA$74,1)-E20</f>
        <v>0</v>
      </c>
      <c r="G20" s="19">
        <f>COUNTIFS(코딩자료!$BA$2:$BA$74,1,코딩자료!$J$2:$J$74,"&lt;&gt;")</f>
        <v>71</v>
      </c>
      <c r="H20" s="20">
        <f>COUNTIFS(코딩자료!$BA$2:$BA$74,1)-G20</f>
        <v>0</v>
      </c>
    </row>
    <row r="21" spans="1:8" x14ac:dyDescent="0.45">
      <c r="A21" s="21" t="s">
        <v>448</v>
      </c>
      <c r="B21" s="16"/>
      <c r="C21" s="9">
        <f>COUNTIFS(코딩자료!$C$2:$C$74,1,코딩자료!$BA$2:$BA$74,1)</f>
        <v>32</v>
      </c>
      <c r="D21" s="16"/>
      <c r="E21" s="9">
        <f>COUNTIFS(코딩자료!$C$2:$C$74,0,코딩자료!$BA$2:$BA$74,1)</f>
        <v>39</v>
      </c>
      <c r="F21" s="16"/>
      <c r="G21" s="9">
        <f>COUNTIFS(코딩자료!$BA$2:$BA$74,1)</f>
        <v>71</v>
      </c>
      <c r="H21" s="16"/>
    </row>
    <row r="23" spans="1:8" x14ac:dyDescent="0.45">
      <c r="A23" s="12" t="s">
        <v>449</v>
      </c>
    </row>
    <row r="24" spans="1:8" x14ac:dyDescent="0.45">
      <c r="A24" s="14" t="s">
        <v>450</v>
      </c>
    </row>
    <row r="25" spans="1:8" x14ac:dyDescent="0.45">
      <c r="A25" s="4" t="s">
        <v>451</v>
      </c>
      <c r="B25" s="4" t="s">
        <v>45</v>
      </c>
      <c r="C25" s="4" t="s">
        <v>452</v>
      </c>
      <c r="D25" s="4" t="s">
        <v>453</v>
      </c>
      <c r="E25" s="4" t="s">
        <v>454</v>
      </c>
      <c r="F25" s="4" t="s">
        <v>455</v>
      </c>
      <c r="G25" s="4" t="s">
        <v>456</v>
      </c>
    </row>
    <row r="26" spans="1:8" x14ac:dyDescent="0.45">
      <c r="A26" s="16" t="s">
        <v>457</v>
      </c>
      <c r="B26" s="16" t="s">
        <v>430</v>
      </c>
      <c r="C26" s="9">
        <f>IFERROR(DCOUNT(코딩자료!$A$1:$BB$74,"A3_나이",$K$2:$L$3),"")</f>
        <v>32</v>
      </c>
      <c r="D26" s="22">
        <f>IFERROR(DAVERAGE(코딩자료!$A$1:$BB$74,"A3_나이",$K$2:$L$3),"")</f>
        <v>47</v>
      </c>
      <c r="E26" s="22">
        <f>IFERROR(DSTDEV(코딩자료!$A$1:$BB$74,"A3_나이",$K$2:$L$3),"")</f>
        <v>11.129733498244038</v>
      </c>
      <c r="F26" s="23">
        <f>IFERROR(DMIN(코딩자료!$A$1:$BB$74,"A3_나이",$K$2:$L$3),"")</f>
        <v>30</v>
      </c>
      <c r="G26" s="23">
        <f>IFERROR(DMAX(코딩자료!$A$1:$BB$74,"A3_나이",$K$2:$L$3),"")</f>
        <v>66</v>
      </c>
    </row>
    <row r="27" spans="1:8" x14ac:dyDescent="0.45">
      <c r="A27" s="16"/>
      <c r="B27" s="16" t="s">
        <v>441</v>
      </c>
      <c r="C27" s="9">
        <f>IFERROR(DCOUNT(코딩자료!$A$1:$BB$74,"A3_나이",$K$5:$L$6),"")</f>
        <v>39</v>
      </c>
      <c r="D27" s="22">
        <f>IFERROR(DAVERAGE(코딩자료!$A$1:$BB$74,"A3_나이",$K$5:$L$6),"")</f>
        <v>46.897435897435898</v>
      </c>
      <c r="E27" s="22">
        <f>IFERROR(DSTDEV(코딩자료!$A$1:$BB$74,"A3_나이",$K$5:$L$6),"")</f>
        <v>12.010510466812578</v>
      </c>
      <c r="F27" s="23">
        <f>IFERROR(DMIN(코딩자료!$A$1:$BB$74,"A3_나이",$K$5:$L$6),"")</f>
        <v>24</v>
      </c>
      <c r="G27" s="23">
        <f>IFERROR(DMAX(코딩자료!$A$1:$BB$74,"A3_나이",$K$5:$L$6),"")</f>
        <v>67</v>
      </c>
    </row>
    <row r="28" spans="1:8" x14ac:dyDescent="0.45">
      <c r="A28" s="16"/>
      <c r="B28" s="16" t="s">
        <v>444</v>
      </c>
      <c r="C28" s="9">
        <f>IFERROR(DCOUNT(코딩자료!$A$1:$BB$74,"A3_나이",$K$8:$K$9),"")</f>
        <v>71</v>
      </c>
      <c r="D28" s="22">
        <f>IFERROR(DAVERAGE(코딩자료!$A$1:$BB$74,"A3_나이",$K$8:$K$9),"")</f>
        <v>46.943661971830984</v>
      </c>
      <c r="E28" s="22">
        <f>IFERROR(DSTDEV(코딩자료!$A$1:$BB$74,"A3_나이",$K$8:$K$9),"")</f>
        <v>11.539853086392968</v>
      </c>
      <c r="F28" s="23">
        <f>IFERROR(DMIN(코딩자료!$A$1:$BB$74,"A3_나이",$K$8:$K$9),"")</f>
        <v>24</v>
      </c>
      <c r="G28" s="23">
        <f>IFERROR(DMAX(코딩자료!$A$1:$BB$74,"A3_나이",$K$8:$K$9),"")</f>
        <v>67</v>
      </c>
    </row>
    <row r="29" spans="1:8" x14ac:dyDescent="0.45">
      <c r="A29" s="16" t="s">
        <v>458</v>
      </c>
      <c r="B29" s="16" t="s">
        <v>430</v>
      </c>
      <c r="C29" s="9">
        <f>IFERROR(DCOUNT(코딩자료!$A$1:$BB$74,"A4_경력",$K$2:$L$3),"")</f>
        <v>32</v>
      </c>
      <c r="D29" s="22">
        <f>IFERROR(DAVERAGE(코딩자료!$A$1:$BB$74,"A4_경력",$K$2:$L$3),"")</f>
        <v>14.5625</v>
      </c>
      <c r="E29" s="22">
        <f>IFERROR(DSTDEV(코딩자료!$A$1:$BB$74,"A4_경력",$K$2:$L$3),"")</f>
        <v>10.998350316180121</v>
      </c>
      <c r="F29" s="23">
        <f>IFERROR(DMIN(코딩자료!$A$1:$BB$74,"A4_경력",$K$2:$L$3),"")</f>
        <v>1</v>
      </c>
      <c r="G29" s="23">
        <f>IFERROR(DMAX(코딩자료!$A$1:$BB$74,"A4_경력",$K$2:$L$3),"")</f>
        <v>37</v>
      </c>
    </row>
    <row r="30" spans="1:8" x14ac:dyDescent="0.45">
      <c r="A30" s="16"/>
      <c r="B30" s="16" t="s">
        <v>441</v>
      </c>
      <c r="C30" s="9">
        <f>IFERROR(DCOUNT(코딩자료!$A$1:$BB$74,"A4_경력",$K$5:$L$6),"")</f>
        <v>39</v>
      </c>
      <c r="D30" s="22">
        <f>IFERROR(DAVERAGE(코딩자료!$A$1:$BB$74,"A4_경력",$K$5:$L$6),"")</f>
        <v>17.53846153846154</v>
      </c>
      <c r="E30" s="22">
        <f>IFERROR(DSTDEV(코딩자료!$A$1:$BB$74,"A4_경력",$K$5:$L$6),"")</f>
        <v>12.447460433962453</v>
      </c>
      <c r="F30" s="23">
        <f>IFERROR(DMIN(코딩자료!$A$1:$BB$74,"A4_경력",$K$5:$L$6),"")</f>
        <v>1</v>
      </c>
      <c r="G30" s="23">
        <f>IFERROR(DMAX(코딩자료!$A$1:$BB$74,"A4_경력",$K$5:$L$6),"")</f>
        <v>45</v>
      </c>
    </row>
    <row r="31" spans="1:8" x14ac:dyDescent="0.45">
      <c r="A31" s="16"/>
      <c r="B31" s="16" t="s">
        <v>444</v>
      </c>
      <c r="C31" s="9">
        <f>IFERROR(DCOUNT(코딩자료!$A$1:$BB$74,"A4_경력",$K$8:$K$9),"")</f>
        <v>71</v>
      </c>
      <c r="D31" s="22">
        <f>IFERROR(DAVERAGE(코딩자료!$A$1:$BB$74,"A4_경력",$K$8:$K$9),"")</f>
        <v>16.197183098591548</v>
      </c>
      <c r="E31" s="22">
        <f>IFERROR(DSTDEV(코딩자료!$A$1:$BB$74,"A4_경력",$K$8:$K$9),"")</f>
        <v>11.828077634304691</v>
      </c>
      <c r="F31" s="23">
        <f>IFERROR(DMIN(코딩자료!$A$1:$BB$74,"A4_경력",$K$8:$K$9),"")</f>
        <v>1</v>
      </c>
      <c r="G31" s="23">
        <f>IFERROR(DMAX(코딩자료!$A$1:$BB$74,"A4_경력",$K$8:$K$9),"")</f>
        <v>45</v>
      </c>
    </row>
    <row r="33" spans="1:8" x14ac:dyDescent="0.45">
      <c r="A33" s="12" t="s">
        <v>459</v>
      </c>
    </row>
    <row r="34" spans="1:8" x14ac:dyDescent="0.45">
      <c r="A34" s="14" t="s">
        <v>460</v>
      </c>
    </row>
    <row r="35" spans="1:8" x14ac:dyDescent="0.45">
      <c r="A35" s="4" t="s">
        <v>432</v>
      </c>
      <c r="B35" s="4" t="s">
        <v>433</v>
      </c>
      <c r="C35" s="4" t="s">
        <v>434</v>
      </c>
      <c r="D35" s="4" t="s">
        <v>435</v>
      </c>
      <c r="E35" s="4" t="s">
        <v>436</v>
      </c>
      <c r="F35" s="4" t="s">
        <v>437</v>
      </c>
      <c r="G35" s="4" t="s">
        <v>438</v>
      </c>
      <c r="H35" s="4" t="s">
        <v>439</v>
      </c>
    </row>
    <row r="36" spans="1:8" x14ac:dyDescent="0.45">
      <c r="A36" s="16" t="s">
        <v>461</v>
      </c>
      <c r="B36" s="16" t="s">
        <v>462</v>
      </c>
      <c r="C36" s="9">
        <f>COUNTIFS(코딩자료!$C$2:$C$74,1,코딩자료!$BA$2:$BA$74,1,코딩자료!$K$2:$K$74,1)</f>
        <v>0</v>
      </c>
      <c r="D36" s="17">
        <f>IFERROR(C36/C41,"")</f>
        <v>0</v>
      </c>
      <c r="E36" s="9">
        <f>COUNTIFS(코딩자료!$C$2:$C$74,0,코딩자료!$BA$2:$BA$74,1,코딩자료!$K$2:$K$74,1)</f>
        <v>2</v>
      </c>
      <c r="F36" s="17">
        <f>IFERROR(E36/E41,"")</f>
        <v>5.128205128205128E-2</v>
      </c>
      <c r="G36" s="9">
        <f>COUNTIFS(코딩자료!$BA$2:$BA$74,1,코딩자료!$K$2:$K$74,1)</f>
        <v>2</v>
      </c>
      <c r="H36" s="17">
        <f>IFERROR(G36/G41,"")</f>
        <v>2.8169014084507043E-2</v>
      </c>
    </row>
    <row r="37" spans="1:8" x14ac:dyDescent="0.45">
      <c r="A37" s="16"/>
      <c r="B37" s="16" t="s">
        <v>463</v>
      </c>
      <c r="C37" s="9">
        <f>COUNTIFS(코딩자료!$C$2:$C$74,1,코딩자료!$BA$2:$BA$74,1,코딩자료!$K$2:$K$74,2)</f>
        <v>13</v>
      </c>
      <c r="D37" s="17">
        <f>IFERROR(C37/C41,"")</f>
        <v>0.40625</v>
      </c>
      <c r="E37" s="9">
        <f>COUNTIFS(코딩자료!$C$2:$C$74,0,코딩자료!$BA$2:$BA$74,1,코딩자료!$K$2:$K$74,2)</f>
        <v>27</v>
      </c>
      <c r="F37" s="17">
        <f>IFERROR(E37/E41,"")</f>
        <v>0.69230769230769229</v>
      </c>
      <c r="G37" s="9">
        <f>COUNTIFS(코딩자료!$BA$2:$BA$74,1,코딩자료!$K$2:$K$74,2)</f>
        <v>40</v>
      </c>
      <c r="H37" s="17">
        <f>IFERROR(G37/G41,"")</f>
        <v>0.56338028169014087</v>
      </c>
    </row>
    <row r="38" spans="1:8" x14ac:dyDescent="0.45">
      <c r="A38" s="16"/>
      <c r="B38" s="16" t="s">
        <v>464</v>
      </c>
      <c r="C38" s="9">
        <f>COUNTIFS(코딩자료!$C$2:$C$74,1,코딩자료!$BA$2:$BA$74,1,코딩자료!$K$2:$K$74,3)</f>
        <v>9</v>
      </c>
      <c r="D38" s="17">
        <f>IFERROR(C38/C41,"")</f>
        <v>0.28125</v>
      </c>
      <c r="E38" s="9">
        <f>COUNTIFS(코딩자료!$C$2:$C$74,0,코딩자료!$BA$2:$BA$74,1,코딩자료!$K$2:$K$74,3)</f>
        <v>7</v>
      </c>
      <c r="F38" s="17">
        <f>IFERROR(E38/E41,"")</f>
        <v>0.17948717948717949</v>
      </c>
      <c r="G38" s="9">
        <f>COUNTIFS(코딩자료!$BA$2:$BA$74,1,코딩자료!$K$2:$K$74,3)</f>
        <v>16</v>
      </c>
      <c r="H38" s="17">
        <f>IFERROR(G38/G41,"")</f>
        <v>0.22535211267605634</v>
      </c>
    </row>
    <row r="39" spans="1:8" x14ac:dyDescent="0.45">
      <c r="A39" s="16"/>
      <c r="B39" s="16" t="s">
        <v>465</v>
      </c>
      <c r="C39" s="9">
        <f>COUNTIFS(코딩자료!$C$2:$C$74,1,코딩자료!$BA$2:$BA$74,1,코딩자료!$K$2:$K$74,4)</f>
        <v>8</v>
      </c>
      <c r="D39" s="17">
        <f>IFERROR(C39/C41,"")</f>
        <v>0.25</v>
      </c>
      <c r="E39" s="9">
        <f>COUNTIFS(코딩자료!$C$2:$C$74,0,코딩자료!$BA$2:$BA$74,1,코딩자료!$K$2:$K$74,4)</f>
        <v>0</v>
      </c>
      <c r="F39" s="17">
        <f>IFERROR(E39/E41,"")</f>
        <v>0</v>
      </c>
      <c r="G39" s="9">
        <f>COUNTIFS(코딩자료!$BA$2:$BA$74,1,코딩자료!$K$2:$K$74,4)</f>
        <v>8</v>
      </c>
      <c r="H39" s="17">
        <f>IFERROR(G39/G41,"")</f>
        <v>0.11267605633802817</v>
      </c>
    </row>
    <row r="40" spans="1:8" x14ac:dyDescent="0.45">
      <c r="A40" s="16"/>
      <c r="B40" s="16" t="s">
        <v>466</v>
      </c>
      <c r="C40" s="9">
        <f>COUNTIFS(코딩자료!$C$2:$C$74,1,코딩자료!$BA$2:$BA$74,1,코딩자료!$K$2:$K$74,5)</f>
        <v>2</v>
      </c>
      <c r="D40" s="17">
        <f>IFERROR(C40/C41,"")</f>
        <v>6.25E-2</v>
      </c>
      <c r="E40" s="9">
        <f>COUNTIFS(코딩자료!$C$2:$C$74,0,코딩자료!$BA$2:$BA$74,1,코딩자료!$K$2:$K$74,5)</f>
        <v>3</v>
      </c>
      <c r="F40" s="17">
        <f>IFERROR(E40/E41,"")</f>
        <v>7.6923076923076927E-2</v>
      </c>
      <c r="G40" s="9">
        <f>COUNTIFS(코딩자료!$BA$2:$BA$74,1,코딩자료!$K$2:$K$74,5)</f>
        <v>5</v>
      </c>
      <c r="H40" s="17">
        <f>IFERROR(G40/G41,"")</f>
        <v>7.0422535211267609E-2</v>
      </c>
    </row>
    <row r="41" spans="1:8" x14ac:dyDescent="0.45">
      <c r="A41" s="18"/>
      <c r="B41" s="18" t="s">
        <v>442</v>
      </c>
      <c r="C41" s="19">
        <f>COUNTIFS(코딩자료!$C$2:$C$74,1,코딩자료!$BA$2:$BA$74,1,코딩자료!$K$2:$K$74,"&lt;&gt;")</f>
        <v>32</v>
      </c>
      <c r="D41" s="20">
        <f>COUNTIFS(코딩자료!$C$2:$C$74,1,코딩자료!$BA$2:$BA$74,1)-C41</f>
        <v>0</v>
      </c>
      <c r="E41" s="19">
        <f>COUNTIFS(코딩자료!$C$2:$C$74,0,코딩자료!$BA$2:$BA$74,1,코딩자료!$K$2:$K$74,"&lt;&gt;")</f>
        <v>39</v>
      </c>
      <c r="F41" s="20">
        <f>COUNTIFS(코딩자료!$C$2:$C$74,0,코딩자료!$BA$2:$BA$74,1)-E41</f>
        <v>0</v>
      </c>
      <c r="G41" s="19">
        <f>COUNTIFS(코딩자료!$BA$2:$BA$74,1,코딩자료!$K$2:$K$74,"&lt;&gt;")</f>
        <v>71</v>
      </c>
      <c r="H41" s="20">
        <f>COUNTIFS(코딩자료!$BA$2:$BA$74,1)-G41</f>
        <v>0</v>
      </c>
    </row>
    <row r="42" spans="1:8" x14ac:dyDescent="0.45">
      <c r="A42" s="16" t="s">
        <v>467</v>
      </c>
      <c r="B42" s="16" t="s">
        <v>468</v>
      </c>
      <c r="C42" s="9">
        <f>COUNTIFS(코딩자료!$C$2:$C$74,1,코딩자료!$BA$2:$BA$74,1,코딩자료!$M$2:$M$74,1)</f>
        <v>11</v>
      </c>
      <c r="D42" s="17">
        <f>IFERROR(C42/C46,"")</f>
        <v>0.34375</v>
      </c>
      <c r="E42" s="9">
        <f>COUNTIFS(코딩자료!$C$2:$C$74,0,코딩자료!$BA$2:$BA$74,1,코딩자료!$M$2:$M$74,1)</f>
        <v>5</v>
      </c>
      <c r="F42" s="17">
        <f>IFERROR(E42/E46,"")</f>
        <v>0.12820512820512819</v>
      </c>
      <c r="G42" s="9">
        <f>COUNTIFS(코딩자료!$BA$2:$BA$74,1,코딩자료!$M$2:$M$74,1)</f>
        <v>16</v>
      </c>
      <c r="H42" s="17">
        <f>IFERROR(G42/G46,"")</f>
        <v>0.22535211267605634</v>
      </c>
    </row>
    <row r="43" spans="1:8" x14ac:dyDescent="0.45">
      <c r="A43" s="16"/>
      <c r="B43" s="16" t="s">
        <v>469</v>
      </c>
      <c r="C43" s="9">
        <f>COUNTIFS(코딩자료!$C$2:$C$74,1,코딩자료!$BA$2:$BA$74,1,코딩자료!$M$2:$M$74,2)</f>
        <v>12</v>
      </c>
      <c r="D43" s="17">
        <f>IFERROR(C43/C46,"")</f>
        <v>0.375</v>
      </c>
      <c r="E43" s="9">
        <f>COUNTIFS(코딩자료!$C$2:$C$74,0,코딩자료!$BA$2:$BA$74,1,코딩자료!$M$2:$M$74,2)</f>
        <v>29</v>
      </c>
      <c r="F43" s="17">
        <f>IFERROR(E43/E46,"")</f>
        <v>0.74358974358974361</v>
      </c>
      <c r="G43" s="9">
        <f>COUNTIFS(코딩자료!$BA$2:$BA$74,1,코딩자료!$M$2:$M$74,2)</f>
        <v>41</v>
      </c>
      <c r="H43" s="17">
        <f>IFERROR(G43/G46,"")</f>
        <v>0.57746478873239437</v>
      </c>
    </row>
    <row r="44" spans="1:8" x14ac:dyDescent="0.45">
      <c r="A44" s="16"/>
      <c r="B44" s="16" t="s">
        <v>470</v>
      </c>
      <c r="C44" s="9">
        <f>COUNTIFS(코딩자료!$C$2:$C$74,1,코딩자료!$BA$2:$BA$74,1,코딩자료!$M$2:$M$74,3)</f>
        <v>5</v>
      </c>
      <c r="D44" s="17">
        <f>IFERROR(C44/C46,"")</f>
        <v>0.15625</v>
      </c>
      <c r="E44" s="9">
        <f>COUNTIFS(코딩자료!$C$2:$C$74,0,코딩자료!$BA$2:$BA$74,1,코딩자료!$M$2:$M$74,3)</f>
        <v>2</v>
      </c>
      <c r="F44" s="17">
        <f>IFERROR(E44/E46,"")</f>
        <v>5.128205128205128E-2</v>
      </c>
      <c r="G44" s="9">
        <f>COUNTIFS(코딩자료!$BA$2:$BA$74,1,코딩자료!$M$2:$M$74,3)</f>
        <v>7</v>
      </c>
      <c r="H44" s="17">
        <f>IFERROR(G44/G46,"")</f>
        <v>9.8591549295774641E-2</v>
      </c>
    </row>
    <row r="45" spans="1:8" x14ac:dyDescent="0.45">
      <c r="A45" s="16"/>
      <c r="B45" s="16" t="s">
        <v>471</v>
      </c>
      <c r="C45" s="9">
        <f>COUNTIFS(코딩자료!$C$2:$C$74,1,코딩자료!$BA$2:$BA$74,1,코딩자료!$M$2:$M$74,4)</f>
        <v>4</v>
      </c>
      <c r="D45" s="17">
        <f>IFERROR(C45/C46,"")</f>
        <v>0.125</v>
      </c>
      <c r="E45" s="9">
        <f>COUNTIFS(코딩자료!$C$2:$C$74,0,코딩자료!$BA$2:$BA$74,1,코딩자료!$M$2:$M$74,4)</f>
        <v>3</v>
      </c>
      <c r="F45" s="17">
        <f>IFERROR(E45/E46,"")</f>
        <v>7.6923076923076927E-2</v>
      </c>
      <c r="G45" s="9">
        <f>COUNTIFS(코딩자료!$BA$2:$BA$74,1,코딩자료!$M$2:$M$74,4)</f>
        <v>7</v>
      </c>
      <c r="H45" s="17">
        <f>IFERROR(G45/G46,"")</f>
        <v>9.8591549295774641E-2</v>
      </c>
    </row>
    <row r="46" spans="1:8" x14ac:dyDescent="0.45">
      <c r="A46" s="18"/>
      <c r="B46" s="18" t="s">
        <v>442</v>
      </c>
      <c r="C46" s="19">
        <f>COUNTIFS(코딩자료!$C$2:$C$74,1,코딩자료!$BA$2:$BA$74,1,코딩자료!$M$2:$M$74,"&lt;&gt;")</f>
        <v>32</v>
      </c>
      <c r="D46" s="20">
        <f>COUNTIFS(코딩자료!$C$2:$C$74,1,코딩자료!$BA$2:$BA$74,1)-C46</f>
        <v>0</v>
      </c>
      <c r="E46" s="19">
        <f>COUNTIFS(코딩자료!$C$2:$C$74,0,코딩자료!$BA$2:$BA$74,1,코딩자료!$M$2:$M$74,"&lt;&gt;")</f>
        <v>39</v>
      </c>
      <c r="F46" s="20">
        <f>COUNTIFS(코딩자료!$C$2:$C$74,0,코딩자료!$BA$2:$BA$74,1)-E46</f>
        <v>0</v>
      </c>
      <c r="G46" s="19">
        <f>COUNTIFS(코딩자료!$BA$2:$BA$74,1,코딩자료!$M$2:$M$74,"&lt;&gt;")</f>
        <v>71</v>
      </c>
      <c r="H46" s="20">
        <f>COUNTIFS(코딩자료!$BA$2:$BA$74,1)-G46</f>
        <v>0</v>
      </c>
    </row>
    <row r="47" spans="1:8" x14ac:dyDescent="0.45">
      <c r="A47" s="16" t="s">
        <v>472</v>
      </c>
      <c r="B47" s="16" t="s">
        <v>473</v>
      </c>
      <c r="C47" s="9">
        <f>COUNTIFS(코딩자료!$C$2:$C$74,1,코딩자료!$BA$2:$BA$74,1,코딩자료!$N$2:$N$74,1)</f>
        <v>10</v>
      </c>
      <c r="D47" s="17">
        <f>IFERROR(C47/C51,"")</f>
        <v>0.3125</v>
      </c>
      <c r="E47" s="9">
        <f>COUNTIFS(코딩자료!$C$2:$C$74,0,코딩자료!$BA$2:$BA$74,1,코딩자료!$N$2:$N$74,1)</f>
        <v>15</v>
      </c>
      <c r="F47" s="17">
        <f>IFERROR(E47/E51,"")</f>
        <v>0.38461538461538464</v>
      </c>
      <c r="G47" s="9">
        <f>COUNTIFS(코딩자료!$BA$2:$BA$74,1,코딩자료!$N$2:$N$74,1)</f>
        <v>25</v>
      </c>
      <c r="H47" s="17">
        <f>IFERROR(G47/G51,"")</f>
        <v>0.352112676056338</v>
      </c>
    </row>
    <row r="48" spans="1:8" x14ac:dyDescent="0.45">
      <c r="A48" s="16"/>
      <c r="B48" s="16" t="s">
        <v>474</v>
      </c>
      <c r="C48" s="9">
        <f>COUNTIFS(코딩자료!$C$2:$C$74,1,코딩자료!$BA$2:$BA$74,1,코딩자료!$N$2:$N$74,2)</f>
        <v>17</v>
      </c>
      <c r="D48" s="17">
        <f>IFERROR(C48/C51,"")</f>
        <v>0.53125</v>
      </c>
      <c r="E48" s="9">
        <f>COUNTIFS(코딩자료!$C$2:$C$74,0,코딩자료!$BA$2:$BA$74,1,코딩자료!$N$2:$N$74,2)</f>
        <v>15</v>
      </c>
      <c r="F48" s="17">
        <f>IFERROR(E48/E51,"")</f>
        <v>0.38461538461538464</v>
      </c>
      <c r="G48" s="9">
        <f>COUNTIFS(코딩자료!$BA$2:$BA$74,1,코딩자료!$N$2:$N$74,2)</f>
        <v>32</v>
      </c>
      <c r="H48" s="17">
        <f>IFERROR(G48/G51,"")</f>
        <v>0.45070422535211269</v>
      </c>
    </row>
    <row r="49" spans="1:8" x14ac:dyDescent="0.45">
      <c r="A49" s="16"/>
      <c r="B49" s="16" t="s">
        <v>475</v>
      </c>
      <c r="C49" s="9">
        <f>COUNTIFS(코딩자료!$C$2:$C$74,1,코딩자료!$BA$2:$BA$74,1,코딩자료!$N$2:$N$74,3)</f>
        <v>4</v>
      </c>
      <c r="D49" s="17">
        <f>IFERROR(C49/C51,"")</f>
        <v>0.125</v>
      </c>
      <c r="E49" s="9">
        <f>COUNTIFS(코딩자료!$C$2:$C$74,0,코딩자료!$BA$2:$BA$74,1,코딩자료!$N$2:$N$74,3)</f>
        <v>7</v>
      </c>
      <c r="F49" s="17">
        <f>IFERROR(E49/E51,"")</f>
        <v>0.17948717948717949</v>
      </c>
      <c r="G49" s="9">
        <f>COUNTIFS(코딩자료!$BA$2:$BA$74,1,코딩자료!$N$2:$N$74,3)</f>
        <v>11</v>
      </c>
      <c r="H49" s="17">
        <f>IFERROR(G49/G51,"")</f>
        <v>0.15492957746478872</v>
      </c>
    </row>
    <row r="50" spans="1:8" x14ac:dyDescent="0.45">
      <c r="A50" s="16"/>
      <c r="B50" s="16" t="s">
        <v>476</v>
      </c>
      <c r="C50" s="9">
        <f>COUNTIFS(코딩자료!$C$2:$C$74,1,코딩자료!$BA$2:$BA$74,1,코딩자료!$N$2:$N$74,4)</f>
        <v>1</v>
      </c>
      <c r="D50" s="17">
        <f>IFERROR(C50/C51,"")</f>
        <v>3.125E-2</v>
      </c>
      <c r="E50" s="9">
        <f>COUNTIFS(코딩자료!$C$2:$C$74,0,코딩자료!$BA$2:$BA$74,1,코딩자료!$N$2:$N$74,4)</f>
        <v>2</v>
      </c>
      <c r="F50" s="17">
        <f>IFERROR(E50/E51,"")</f>
        <v>5.128205128205128E-2</v>
      </c>
      <c r="G50" s="9">
        <f>COUNTIFS(코딩자료!$BA$2:$BA$74,1,코딩자료!$N$2:$N$74,4)</f>
        <v>3</v>
      </c>
      <c r="H50" s="17">
        <f>IFERROR(G50/G51,"")</f>
        <v>4.2253521126760563E-2</v>
      </c>
    </row>
    <row r="51" spans="1:8" x14ac:dyDescent="0.45">
      <c r="A51" s="18"/>
      <c r="B51" s="18" t="s">
        <v>442</v>
      </c>
      <c r="C51" s="19">
        <f>COUNTIFS(코딩자료!$C$2:$C$74,1,코딩자료!$BA$2:$BA$74,1,코딩자료!$N$2:$N$74,"&lt;&gt;")</f>
        <v>32</v>
      </c>
      <c r="D51" s="20">
        <f>COUNTIFS(코딩자료!$C$2:$C$74,1,코딩자료!$BA$2:$BA$74,1)-C51</f>
        <v>0</v>
      </c>
      <c r="E51" s="19">
        <f>COUNTIFS(코딩자료!$C$2:$C$74,0,코딩자료!$BA$2:$BA$74,1,코딩자료!$N$2:$N$74,"&lt;&gt;")</f>
        <v>39</v>
      </c>
      <c r="F51" s="20">
        <f>COUNTIFS(코딩자료!$C$2:$C$74,0,코딩자료!$BA$2:$BA$74,1)-E51</f>
        <v>0</v>
      </c>
      <c r="G51" s="19">
        <f>COUNTIFS(코딩자료!$BA$2:$BA$74,1,코딩자료!$N$2:$N$74,"&lt;&gt;")</f>
        <v>71</v>
      </c>
      <c r="H51" s="20">
        <f>COUNTIFS(코딩자료!$BA$2:$BA$74,1)-G51</f>
        <v>0</v>
      </c>
    </row>
    <row r="53" spans="1:8" x14ac:dyDescent="0.45">
      <c r="A53" s="12" t="s">
        <v>477</v>
      </c>
    </row>
    <row r="54" spans="1:8" x14ac:dyDescent="0.45">
      <c r="A54" s="14" t="s">
        <v>478</v>
      </c>
    </row>
    <row r="55" spans="1:8" x14ac:dyDescent="0.45">
      <c r="A55" s="4" t="s">
        <v>432</v>
      </c>
      <c r="B55" s="4" t="s">
        <v>433</v>
      </c>
      <c r="C55" s="4" t="s">
        <v>434</v>
      </c>
    </row>
    <row r="56" spans="1:8" x14ac:dyDescent="0.45">
      <c r="A56" s="16" t="s">
        <v>479</v>
      </c>
      <c r="B56" s="16" t="s">
        <v>480</v>
      </c>
      <c r="C56" s="9">
        <f>COUNTIFS(코딩자료!$C$2:$C$74,1,코딩자료!$BA$2:$BA$74,1,코딩자료!$AZ$2:$AZ$74,1)</f>
        <v>5</v>
      </c>
    </row>
    <row r="57" spans="1:8" x14ac:dyDescent="0.45">
      <c r="A57" s="16" t="s">
        <v>479</v>
      </c>
      <c r="B57" s="16" t="s">
        <v>481</v>
      </c>
      <c r="C57" s="9">
        <f>COUNTIFS(코딩자료!$C$2:$C$74,1,코딩자료!$BA$2:$BA$74,1,코딩자료!$AZ$2:$AZ$74,0)</f>
        <v>27</v>
      </c>
    </row>
    <row r="58" spans="1:8" x14ac:dyDescent="0.45">
      <c r="A58" s="16" t="s">
        <v>479</v>
      </c>
      <c r="B58" s="16" t="s">
        <v>482</v>
      </c>
      <c r="C58" s="9">
        <f>COUNTIFS(코딩자료!$C$2:$C$74,1,코딩자료!$BA$2:$BA$74,1,코딩자료!$K$2:$K$74,5)</f>
        <v>2</v>
      </c>
    </row>
    <row r="60" spans="1:8" x14ac:dyDescent="0.45">
      <c r="A60" s="12" t="s">
        <v>483</v>
      </c>
    </row>
    <row r="61" spans="1:8" x14ac:dyDescent="0.45">
      <c r="A61" s="14" t="s">
        <v>484</v>
      </c>
    </row>
    <row r="62" spans="1:8" x14ac:dyDescent="0.45">
      <c r="A62" s="4" t="s">
        <v>451</v>
      </c>
      <c r="B62" s="4" t="s">
        <v>45</v>
      </c>
      <c r="C62" s="4" t="s">
        <v>452</v>
      </c>
      <c r="D62" s="4" t="s">
        <v>453</v>
      </c>
      <c r="E62" s="4" t="s">
        <v>454</v>
      </c>
      <c r="F62" s="4" t="s">
        <v>455</v>
      </c>
      <c r="G62" s="4" t="s">
        <v>456</v>
      </c>
    </row>
    <row r="63" spans="1:8" x14ac:dyDescent="0.45">
      <c r="A63" s="16" t="s">
        <v>374</v>
      </c>
      <c r="B63" s="16" t="s">
        <v>430</v>
      </c>
      <c r="C63" s="9">
        <f>IFERROR(DCOUNT(코딩자료!$A$1:$BB$74,"Y_total",$K$2:$L$3),"")</f>
        <v>32</v>
      </c>
      <c r="D63" s="22">
        <f>IFERROR(DAVERAGE(코딩자료!$A$1:$BB$74,"Y_total",$K$2:$L$3),"")</f>
        <v>4.01953125</v>
      </c>
      <c r="E63" s="22">
        <f>IFERROR(DSTDEV(코딩자료!$A$1:$BB$74,"Y_total",$K$2:$L$3),"")</f>
        <v>0.60083055334315782</v>
      </c>
      <c r="F63" s="23">
        <f>IFERROR(DMIN(코딩자료!$A$1:$BB$74,"Y_total",$K$2:$L$3),"")</f>
        <v>2.75</v>
      </c>
      <c r="G63" s="23">
        <f>IFERROR(DMAX(코딩자료!$A$1:$BB$74,"Y_total",$K$2:$L$3),"")</f>
        <v>5</v>
      </c>
    </row>
    <row r="64" spans="1:8" x14ac:dyDescent="0.45">
      <c r="A64" s="16"/>
      <c r="B64" s="16" t="s">
        <v>441</v>
      </c>
      <c r="C64" s="9">
        <f>IFERROR(DCOUNT(코딩자료!$A$1:$BB$74,"Y_total",$K$5:$L$6),"")</f>
        <v>39</v>
      </c>
      <c r="D64" s="22">
        <f>IFERROR(DAVERAGE(코딩자료!$A$1:$BB$74,"Y_total",$K$5:$L$6),"")</f>
        <v>3.483974358974359</v>
      </c>
      <c r="E64" s="22">
        <f>IFERROR(DSTDEV(코딩자료!$A$1:$BB$74,"Y_total",$K$5:$L$6),"")</f>
        <v>0.81221122762037956</v>
      </c>
      <c r="F64" s="23">
        <f>IFERROR(DMIN(코딩자료!$A$1:$BB$74,"Y_total",$K$5:$L$6),"")</f>
        <v>1.375</v>
      </c>
      <c r="G64" s="23">
        <f>IFERROR(DMAX(코딩자료!$A$1:$BB$74,"Y_total",$K$5:$L$6),"")</f>
        <v>5</v>
      </c>
    </row>
    <row r="65" spans="1:7" x14ac:dyDescent="0.45">
      <c r="A65" s="16"/>
      <c r="B65" s="16" t="s">
        <v>444</v>
      </c>
      <c r="C65" s="9">
        <f>IFERROR(DCOUNT(코딩자료!$A$1:$BB$74,"Y_total",$K$8:$K$9),"")</f>
        <v>71</v>
      </c>
      <c r="D65" s="22">
        <f>IFERROR(DAVERAGE(코딩자료!$A$1:$BB$74,"Y_total",$K$8:$K$9),"")</f>
        <v>3.7253521126760565</v>
      </c>
      <c r="E65" s="22">
        <f>IFERROR(DSTDEV(코딩자료!$A$1:$BB$74,"Y_total",$K$8:$K$9),"")</f>
        <v>0.7681203049112173</v>
      </c>
      <c r="F65" s="23">
        <f>IFERROR(DMIN(코딩자료!$A$1:$BB$74,"Y_total",$K$8:$K$9),"")</f>
        <v>1.375</v>
      </c>
      <c r="G65" s="23">
        <f>IFERROR(DMAX(코딩자료!$A$1:$BB$74,"Y_total",$K$8:$K$9),"")</f>
        <v>5</v>
      </c>
    </row>
    <row r="66" spans="1:7" x14ac:dyDescent="0.45">
      <c r="A66" s="16" t="s">
        <v>379</v>
      </c>
      <c r="B66" s="16" t="s">
        <v>430</v>
      </c>
      <c r="C66" s="9">
        <f>IFERROR(DCOUNT(코딩자료!$A$1:$BB$74,"Y1_조기인지",$K$2:$L$3),"")</f>
        <v>32</v>
      </c>
      <c r="D66" s="22">
        <f>IFERROR(DAVERAGE(코딩자료!$A$1:$BB$74,"Y1_조기인지",$K$2:$L$3),"")</f>
        <v>3.8125</v>
      </c>
      <c r="E66" s="22">
        <f>IFERROR(DSTDEV(코딩자료!$A$1:$BB$74,"Y1_조기인지",$K$2:$L$3),"")</f>
        <v>0.85901293692612779</v>
      </c>
      <c r="F66" s="23">
        <f>IFERROR(DMIN(코딩자료!$A$1:$BB$74,"Y1_조기인지",$K$2:$L$3),"")</f>
        <v>2</v>
      </c>
      <c r="G66" s="23">
        <f>IFERROR(DMAX(코딩자료!$A$1:$BB$74,"Y1_조기인지",$K$2:$L$3),"")</f>
        <v>5</v>
      </c>
    </row>
    <row r="67" spans="1:7" x14ac:dyDescent="0.45">
      <c r="A67" s="16"/>
      <c r="B67" s="16" t="s">
        <v>441</v>
      </c>
      <c r="C67" s="9">
        <f>IFERROR(DCOUNT(코딩자료!$A$1:$BB$74,"Y1_조기인지",$K$5:$L$6),"")</f>
        <v>39</v>
      </c>
      <c r="D67" s="22">
        <f>IFERROR(DAVERAGE(코딩자료!$A$1:$BB$74,"Y1_조기인지",$K$5:$L$6),"")</f>
        <v>3.5128205128205128</v>
      </c>
      <c r="E67" s="22">
        <f>IFERROR(DSTDEV(코딩자료!$A$1:$BB$74,"Y1_조기인지",$K$5:$L$6),"")</f>
        <v>0.82308133740791578</v>
      </c>
      <c r="F67" s="23">
        <f>IFERROR(DMIN(코딩자료!$A$1:$BB$74,"Y1_조기인지",$K$5:$L$6),"")</f>
        <v>1</v>
      </c>
      <c r="G67" s="23">
        <f>IFERROR(DMAX(코딩자료!$A$1:$BB$74,"Y1_조기인지",$K$5:$L$6),"")</f>
        <v>5</v>
      </c>
    </row>
    <row r="68" spans="1:7" x14ac:dyDescent="0.45">
      <c r="A68" s="16"/>
      <c r="B68" s="16" t="s">
        <v>444</v>
      </c>
      <c r="C68" s="9">
        <f>IFERROR(DCOUNT(코딩자료!$A$1:$BB$74,"Y1_조기인지",$K$8:$K$9),"")</f>
        <v>71</v>
      </c>
      <c r="D68" s="22">
        <f>IFERROR(DAVERAGE(코딩자료!$A$1:$BB$74,"Y1_조기인지",$K$8:$K$9),"")</f>
        <v>3.647887323943662</v>
      </c>
      <c r="E68" s="22">
        <f>IFERROR(DSTDEV(코딩자료!$A$1:$BB$74,"Y1_조기인지",$K$8:$K$9),"")</f>
        <v>0.84681911627818385</v>
      </c>
      <c r="F68" s="23">
        <f>IFERROR(DMIN(코딩자료!$A$1:$BB$74,"Y1_조기인지",$K$8:$K$9),"")</f>
        <v>1</v>
      </c>
      <c r="G68" s="23">
        <f>IFERROR(DMAX(코딩자료!$A$1:$BB$74,"Y1_조기인지",$K$8:$K$9),"")</f>
        <v>5</v>
      </c>
    </row>
    <row r="69" spans="1:7" x14ac:dyDescent="0.45">
      <c r="A69" s="16" t="s">
        <v>383</v>
      </c>
      <c r="B69" s="16" t="s">
        <v>430</v>
      </c>
      <c r="C69" s="9">
        <f>IFERROR(DCOUNT(코딩자료!$A$1:$BB$74,"Y2_대응신속성",$K$2:$L$3),"")</f>
        <v>32</v>
      </c>
      <c r="D69" s="22">
        <f>IFERROR(DAVERAGE(코딩자료!$A$1:$BB$74,"Y2_대응신속성",$K$2:$L$3),"")</f>
        <v>4.25</v>
      </c>
      <c r="E69" s="22">
        <f>IFERROR(DSTDEV(코딩자료!$A$1:$BB$74,"Y2_대응신속성",$K$2:$L$3),"")</f>
        <v>0.672021505032247</v>
      </c>
      <c r="F69" s="23">
        <f>IFERROR(DMIN(코딩자료!$A$1:$BB$74,"Y2_대응신속성",$K$2:$L$3),"")</f>
        <v>3</v>
      </c>
      <c r="G69" s="23">
        <f>IFERROR(DMAX(코딩자료!$A$1:$BB$74,"Y2_대응신속성",$K$2:$L$3),"")</f>
        <v>5</v>
      </c>
    </row>
    <row r="70" spans="1:7" x14ac:dyDescent="0.45">
      <c r="A70" s="16"/>
      <c r="B70" s="16" t="s">
        <v>441</v>
      </c>
      <c r="C70" s="9">
        <f>IFERROR(DCOUNT(코딩자료!$A$1:$BB$74,"Y2_대응신속성",$K$5:$L$6),"")</f>
        <v>39</v>
      </c>
      <c r="D70" s="22">
        <f>IFERROR(DAVERAGE(코딩자료!$A$1:$BB$74,"Y2_대응신속성",$K$5:$L$6),"")</f>
        <v>3.8717948717948718</v>
      </c>
      <c r="E70" s="22">
        <f>IFERROR(DSTDEV(코딩자료!$A$1:$BB$74,"Y2_대응신속성",$K$5:$L$6),"")</f>
        <v>0.83286086471451493</v>
      </c>
      <c r="F70" s="23">
        <f>IFERROR(DMIN(코딩자료!$A$1:$BB$74,"Y2_대응신속성",$K$5:$L$6),"")</f>
        <v>2</v>
      </c>
      <c r="G70" s="23">
        <f>IFERROR(DMAX(코딩자료!$A$1:$BB$74,"Y2_대응신속성",$K$5:$L$6),"")</f>
        <v>5</v>
      </c>
    </row>
    <row r="71" spans="1:7" x14ac:dyDescent="0.45">
      <c r="A71" s="16"/>
      <c r="B71" s="16" t="s">
        <v>444</v>
      </c>
      <c r="C71" s="9">
        <f>IFERROR(DCOUNT(코딩자료!$A$1:$BB$74,"Y2_대응신속성",$K$8:$K$9),"")</f>
        <v>71</v>
      </c>
      <c r="D71" s="22">
        <f>IFERROR(DAVERAGE(코딩자료!$A$1:$BB$74,"Y2_대응신속성",$K$8:$K$9),"")</f>
        <v>4.042253521126761</v>
      </c>
      <c r="E71" s="22">
        <f>IFERROR(DSTDEV(코딩자료!$A$1:$BB$74,"Y2_대응신속성",$K$8:$K$9),"")</f>
        <v>0.78260772363590192</v>
      </c>
      <c r="F71" s="23">
        <f>IFERROR(DMIN(코딩자료!$A$1:$BB$74,"Y2_대응신속성",$K$8:$K$9),"")</f>
        <v>2</v>
      </c>
      <c r="G71" s="23">
        <f>IFERROR(DMAX(코딩자료!$A$1:$BB$74,"Y2_대응신속성",$K$8:$K$9),"")</f>
        <v>5</v>
      </c>
    </row>
    <row r="72" spans="1:7" x14ac:dyDescent="0.45">
      <c r="A72" s="16" t="s">
        <v>386</v>
      </c>
      <c r="B72" s="16" t="s">
        <v>430</v>
      </c>
      <c r="C72" s="9">
        <f>IFERROR(DCOUNT(코딩자료!$A$1:$BB$74,"Y3_원격파악",$K$2:$L$3),"")</f>
        <v>32</v>
      </c>
      <c r="D72" s="22">
        <f>IFERROR(DAVERAGE(코딩자료!$A$1:$BB$74,"Y3_원격파악",$K$2:$L$3),"")</f>
        <v>3.96875</v>
      </c>
      <c r="E72" s="22">
        <f>IFERROR(DSTDEV(코딩자료!$A$1:$BB$74,"Y3_원격파악",$K$2:$L$3),"")</f>
        <v>0.68317923780494227</v>
      </c>
      <c r="F72" s="23">
        <f>IFERROR(DMIN(코딩자료!$A$1:$BB$74,"Y3_원격파악",$K$2:$L$3),"")</f>
        <v>2.5</v>
      </c>
      <c r="G72" s="23">
        <f>IFERROR(DMAX(코딩자료!$A$1:$BB$74,"Y3_원격파악",$K$2:$L$3),"")</f>
        <v>5</v>
      </c>
    </row>
    <row r="73" spans="1:7" x14ac:dyDescent="0.45">
      <c r="A73" s="16"/>
      <c r="B73" s="16" t="s">
        <v>441</v>
      </c>
      <c r="C73" s="9">
        <f>IFERROR(DCOUNT(코딩자료!$A$1:$BB$74,"Y3_원격파악",$K$5:$L$6),"")</f>
        <v>39</v>
      </c>
      <c r="D73" s="22">
        <f>IFERROR(DAVERAGE(코딩자료!$A$1:$BB$74,"Y3_원격파악",$K$5:$L$6),"")</f>
        <v>3.3205128205128207</v>
      </c>
      <c r="E73" s="22">
        <f>IFERROR(DSTDEV(코딩자료!$A$1:$BB$74,"Y3_원격파악",$K$5:$L$6),"")</f>
        <v>0.99662047022596012</v>
      </c>
      <c r="F73" s="23">
        <f>IFERROR(DMIN(코딩자료!$A$1:$BB$74,"Y3_원격파악",$K$5:$L$6),"")</f>
        <v>1</v>
      </c>
      <c r="G73" s="23">
        <f>IFERROR(DMAX(코딩자료!$A$1:$BB$74,"Y3_원격파악",$K$5:$L$6),"")</f>
        <v>5</v>
      </c>
    </row>
    <row r="74" spans="1:7" x14ac:dyDescent="0.45">
      <c r="A74" s="16"/>
      <c r="B74" s="16" t="s">
        <v>444</v>
      </c>
      <c r="C74" s="9">
        <f>IFERROR(DCOUNT(코딩자료!$A$1:$BB$74,"Y3_원격파악",$K$8:$K$9),"")</f>
        <v>71</v>
      </c>
      <c r="D74" s="22">
        <f>IFERROR(DAVERAGE(코딩자료!$A$1:$BB$74,"Y3_원격파악",$K$8:$K$9),"")</f>
        <v>3.612676056338028</v>
      </c>
      <c r="E74" s="22">
        <f>IFERROR(DSTDEV(코딩자료!$A$1:$BB$74,"Y3_원격파악",$K$8:$K$9),"")</f>
        <v>0.92271796921064941</v>
      </c>
      <c r="F74" s="23">
        <f>IFERROR(DMIN(코딩자료!$A$1:$BB$74,"Y3_원격파악",$K$8:$K$9),"")</f>
        <v>1</v>
      </c>
      <c r="G74" s="23">
        <f>IFERROR(DMAX(코딩자료!$A$1:$BB$74,"Y3_원격파악",$K$8:$K$9),"")</f>
        <v>5</v>
      </c>
    </row>
    <row r="75" spans="1:7" x14ac:dyDescent="0.45">
      <c r="A75" s="16" t="s">
        <v>389</v>
      </c>
      <c r="B75" s="16" t="s">
        <v>430</v>
      </c>
      <c r="C75" s="9">
        <f>IFERROR(DCOUNT(코딩자료!$A$1:$BB$74,"Y4_순찰부담경감",$K$2:$L$3),"")</f>
        <v>32</v>
      </c>
      <c r="D75" s="22">
        <f>IFERROR(DAVERAGE(코딩자료!$A$1:$BB$74,"Y4_순찰부담경감",$K$2:$L$3),"")</f>
        <v>3.8125</v>
      </c>
      <c r="E75" s="22">
        <f>IFERROR(DSTDEV(코딩자료!$A$1:$BB$74,"Y4_순찰부담경감",$K$2:$L$3),"")</f>
        <v>0.78030184399496039</v>
      </c>
      <c r="F75" s="23">
        <f>IFERROR(DMIN(코딩자료!$A$1:$BB$74,"Y4_순찰부담경감",$K$2:$L$3),"")</f>
        <v>2</v>
      </c>
      <c r="G75" s="23">
        <f>IFERROR(DMAX(코딩자료!$A$1:$BB$74,"Y4_순찰부담경감",$K$2:$L$3),"")</f>
        <v>5</v>
      </c>
    </row>
    <row r="76" spans="1:7" x14ac:dyDescent="0.45">
      <c r="A76" s="16"/>
      <c r="B76" s="16" t="s">
        <v>441</v>
      </c>
      <c r="C76" s="9">
        <f>IFERROR(DCOUNT(코딩자료!$A$1:$BB$74,"Y4_순찰부담경감",$K$5:$L$6),"")</f>
        <v>39</v>
      </c>
      <c r="D76" s="22">
        <f>IFERROR(DAVERAGE(코딩자료!$A$1:$BB$74,"Y4_순찰부담경감",$K$5:$L$6),"")</f>
        <v>3.2564102564102564</v>
      </c>
      <c r="E76" s="22">
        <f>IFERROR(DSTDEV(코딩자료!$A$1:$BB$74,"Y4_순찰부담경감",$K$5:$L$6),"")</f>
        <v>1.0057191383061159</v>
      </c>
      <c r="F76" s="23">
        <f>IFERROR(DMIN(코딩자료!$A$1:$BB$74,"Y4_순찰부담경감",$K$5:$L$6),"")</f>
        <v>1</v>
      </c>
      <c r="G76" s="23">
        <f>IFERROR(DMAX(코딩자료!$A$1:$BB$74,"Y4_순찰부담경감",$K$5:$L$6),"")</f>
        <v>5</v>
      </c>
    </row>
    <row r="77" spans="1:7" x14ac:dyDescent="0.45">
      <c r="A77" s="16"/>
      <c r="B77" s="16" t="s">
        <v>444</v>
      </c>
      <c r="C77" s="9">
        <f>IFERROR(DCOUNT(코딩자료!$A$1:$BB$74,"Y4_순찰부담경감",$K$8:$K$9),"")</f>
        <v>71</v>
      </c>
      <c r="D77" s="22">
        <f>IFERROR(DAVERAGE(코딩자료!$A$1:$BB$74,"Y4_순찰부담경감",$K$8:$K$9),"")</f>
        <v>3.507042253521127</v>
      </c>
      <c r="E77" s="22">
        <f>IFERROR(DSTDEV(코딩자료!$A$1:$BB$74,"Y4_순찰부담경감",$K$8:$K$9),"")</f>
        <v>0.94677255432215923</v>
      </c>
      <c r="F77" s="23">
        <f>IFERROR(DMIN(코딩자료!$A$1:$BB$74,"Y4_순찰부담경감",$K$8:$K$9),"")</f>
        <v>1</v>
      </c>
      <c r="G77" s="23">
        <f>IFERROR(DMAX(코딩자료!$A$1:$BB$74,"Y4_순찰부담경감",$K$8:$K$9),"")</f>
        <v>5</v>
      </c>
    </row>
    <row r="78" spans="1:7" x14ac:dyDescent="0.45">
      <c r="A78" s="16" t="s">
        <v>392</v>
      </c>
      <c r="B78" s="16" t="s">
        <v>430</v>
      </c>
      <c r="C78" s="9">
        <f>IFERROR(DCOUNT(코딩자료!$A$1:$BB$74,"Y5_위험통제력",$K$2:$L$3),"")</f>
        <v>32</v>
      </c>
      <c r="D78" s="22">
        <f>IFERROR(DAVERAGE(코딩자료!$A$1:$BB$74,"Y5_위험통제력",$K$2:$L$3),"")</f>
        <v>4.265625</v>
      </c>
      <c r="E78" s="22">
        <f>IFERROR(DSTDEV(코딩자료!$A$1:$BB$74,"Y5_위험통제력",$K$2:$L$3),"")</f>
        <v>0.59547182431109802</v>
      </c>
      <c r="F78" s="23">
        <f>IFERROR(DMIN(코딩자료!$A$1:$BB$74,"Y5_위험통제력",$K$2:$L$3),"")</f>
        <v>3</v>
      </c>
      <c r="G78" s="23">
        <f>IFERROR(DMAX(코딩자료!$A$1:$BB$74,"Y5_위험통제력",$K$2:$L$3),"")</f>
        <v>5</v>
      </c>
    </row>
    <row r="79" spans="1:7" x14ac:dyDescent="0.45">
      <c r="A79" s="16"/>
      <c r="B79" s="16" t="s">
        <v>441</v>
      </c>
      <c r="C79" s="9">
        <f>IFERROR(DCOUNT(코딩자료!$A$1:$BB$74,"Y5_위험통제력",$K$5:$L$6),"")</f>
        <v>39</v>
      </c>
      <c r="D79" s="22">
        <f>IFERROR(DAVERAGE(코딩자료!$A$1:$BB$74,"Y5_위험통제력",$K$5:$L$6),"")</f>
        <v>3.6666666666666665</v>
      </c>
      <c r="E79" s="22">
        <f>IFERROR(DSTDEV(코딩자료!$A$1:$BB$74,"Y5_위험통제력",$K$5:$L$6),"")</f>
        <v>0.8138063048136116</v>
      </c>
      <c r="F79" s="23">
        <f>IFERROR(DMIN(코딩자료!$A$1:$BB$74,"Y5_위험통제력",$K$5:$L$6),"")</f>
        <v>1.5</v>
      </c>
      <c r="G79" s="23">
        <f>IFERROR(DMAX(코딩자료!$A$1:$BB$74,"Y5_위험통제력",$K$5:$L$6),"")</f>
        <v>5</v>
      </c>
    </row>
    <row r="80" spans="1:7" x14ac:dyDescent="0.45">
      <c r="A80" s="16"/>
      <c r="B80" s="16" t="s">
        <v>444</v>
      </c>
      <c r="C80" s="9">
        <f>IFERROR(DCOUNT(코딩자료!$A$1:$BB$74,"Y5_위험통제력",$K$8:$K$9),"")</f>
        <v>71</v>
      </c>
      <c r="D80" s="22">
        <f>IFERROR(DAVERAGE(코딩자료!$A$1:$BB$74,"Y5_위험통제력",$K$8:$K$9),"")</f>
        <v>3.936619718309859</v>
      </c>
      <c r="E80" s="22">
        <f>IFERROR(DSTDEV(코딩자료!$A$1:$BB$74,"Y5_위험통제력",$K$8:$K$9),"")</f>
        <v>0.77887087442926228</v>
      </c>
      <c r="F80" s="23">
        <f>IFERROR(DMIN(코딩자료!$A$1:$BB$74,"Y5_위험통제력",$K$8:$K$9),"")</f>
        <v>1.5</v>
      </c>
      <c r="G80" s="23">
        <f>IFERROR(DMAX(코딩자료!$A$1:$BB$74,"Y5_위험통제력",$K$8:$K$9),"")</f>
        <v>5</v>
      </c>
    </row>
    <row r="81" spans="1:7" x14ac:dyDescent="0.45">
      <c r="A81" s="16" t="s">
        <v>395</v>
      </c>
      <c r="B81" s="16" t="s">
        <v>430</v>
      </c>
      <c r="C81" s="9">
        <f>IFERROR(DCOUNT(코딩자료!$A$1:$BB$74,"W_예산제약",$K$2:$L$3),"")</f>
        <v>32</v>
      </c>
      <c r="D81" s="22">
        <f>IFERROR(DAVERAGE(코딩자료!$A$1:$BB$74,"W_예산제약",$K$2:$L$3),"")</f>
        <v>3.265625</v>
      </c>
      <c r="E81" s="22">
        <f>IFERROR(DSTDEV(코딩자료!$A$1:$BB$74,"W_예산제약",$K$2:$L$3),"")</f>
        <v>1.023784684709222</v>
      </c>
      <c r="F81" s="23">
        <f>IFERROR(DMIN(코딩자료!$A$1:$BB$74,"W_예산제약",$K$2:$L$3),"")</f>
        <v>1.5</v>
      </c>
      <c r="G81" s="23">
        <f>IFERROR(DMAX(코딩자료!$A$1:$BB$74,"W_예산제약",$K$2:$L$3),"")</f>
        <v>5</v>
      </c>
    </row>
    <row r="82" spans="1:7" x14ac:dyDescent="0.45">
      <c r="A82" s="16"/>
      <c r="B82" s="16" t="s">
        <v>441</v>
      </c>
      <c r="C82" s="9">
        <f>IFERROR(DCOUNT(코딩자료!$A$1:$BB$74,"W_예산제약",$K$5:$L$6),"")</f>
        <v>39</v>
      </c>
      <c r="D82" s="22">
        <f>IFERROR(DAVERAGE(코딩자료!$A$1:$BB$74,"W_예산제약",$K$5:$L$6),"")</f>
        <v>3.5705128205128207</v>
      </c>
      <c r="E82" s="22">
        <f>IFERROR(DSTDEV(코딩자료!$A$1:$BB$74,"W_예산제약",$K$5:$L$6),"")</f>
        <v>1.1105782010379919</v>
      </c>
      <c r="F82" s="23">
        <f>IFERROR(DMIN(코딩자료!$A$1:$BB$74,"W_예산제약",$K$5:$L$6),"")</f>
        <v>1</v>
      </c>
      <c r="G82" s="23">
        <f>IFERROR(DMAX(코딩자료!$A$1:$BB$74,"W_예산제약",$K$5:$L$6),"")</f>
        <v>5</v>
      </c>
    </row>
    <row r="83" spans="1:7" x14ac:dyDescent="0.45">
      <c r="A83" s="16"/>
      <c r="B83" s="16" t="s">
        <v>444</v>
      </c>
      <c r="C83" s="9">
        <f>IFERROR(DCOUNT(코딩자료!$A$1:$BB$74,"W_예산제약",$K$8:$K$9),"")</f>
        <v>71</v>
      </c>
      <c r="D83" s="22">
        <f>IFERROR(DAVERAGE(코딩자료!$A$1:$BB$74,"W_예산제약",$K$8:$K$9),"")</f>
        <v>3.433098591549296</v>
      </c>
      <c r="E83" s="22">
        <f>IFERROR(DSTDEV(코딩자료!$A$1:$BB$74,"W_예산제약",$K$8:$K$9),"")</f>
        <v>1.0756706765672102</v>
      </c>
      <c r="F83" s="23">
        <f>IFERROR(DMIN(코딩자료!$A$1:$BB$74,"W_예산제약",$K$8:$K$9),"")</f>
        <v>1</v>
      </c>
      <c r="G83" s="23">
        <f>IFERROR(DMAX(코딩자료!$A$1:$BB$74,"W_예산제약",$K$8:$K$9),"")</f>
        <v>5</v>
      </c>
    </row>
    <row r="85" spans="1:7" x14ac:dyDescent="0.45">
      <c r="A85" s="12" t="s">
        <v>485</v>
      </c>
    </row>
    <row r="86" spans="1:7" x14ac:dyDescent="0.45">
      <c r="A86" s="4" t="s">
        <v>451</v>
      </c>
      <c r="B86" s="4" t="s">
        <v>45</v>
      </c>
      <c r="C86" s="4" t="s">
        <v>452</v>
      </c>
      <c r="D86" s="4" t="s">
        <v>453</v>
      </c>
      <c r="E86" s="4" t="s">
        <v>454</v>
      </c>
      <c r="F86" s="4" t="s">
        <v>455</v>
      </c>
      <c r="G86" s="4" t="s">
        <v>456</v>
      </c>
    </row>
    <row r="87" spans="1:7" x14ac:dyDescent="0.45">
      <c r="A87" s="16" t="s">
        <v>417</v>
      </c>
      <c r="B87" s="16" t="s">
        <v>430</v>
      </c>
      <c r="C87" s="9">
        <f>IFERROR(DCOUNT(코딩자료!$A$1:$BB$74,"E_total",$K$2:$L$3),"")</f>
        <v>32</v>
      </c>
      <c r="D87" s="22">
        <f>IFERROR(DAVERAGE(코딩자료!$A$1:$BB$74,"E_total",$K$2:$L$3),"")</f>
        <v>3.6328125</v>
      </c>
      <c r="E87" s="22">
        <f>IFERROR(DSTDEV(코딩자료!$A$1:$BB$74,"E_total",$K$2:$L$3),"")</f>
        <v>0.96508476771264384</v>
      </c>
      <c r="F87" s="23">
        <f>IFERROR(DMIN(코딩자료!$A$1:$BB$74,"E_total",$K$2:$L$3),"")</f>
        <v>1.75</v>
      </c>
      <c r="G87" s="23">
        <f>IFERROR(DMAX(코딩자료!$A$1:$BB$74,"E_total",$K$2:$L$3),"")</f>
        <v>5</v>
      </c>
    </row>
    <row r="88" spans="1:7" x14ac:dyDescent="0.45">
      <c r="A88" s="16" t="s">
        <v>414</v>
      </c>
      <c r="B88" s="16" t="s">
        <v>430</v>
      </c>
      <c r="C88" s="9">
        <f>IFERROR(DCOUNT(코딩자료!$A$1:$BB$74,"D_total",$K$2:$L$3),"")</f>
        <v>32</v>
      </c>
      <c r="D88" s="22">
        <f>IFERROR(DAVERAGE(코딩자료!$A$1:$BB$74,"D_total",$K$2:$L$3),"")</f>
        <v>3.71875</v>
      </c>
      <c r="E88" s="22">
        <f>IFERROR(DSTDEV(코딩자료!$A$1:$BB$74,"D_total",$K$2:$L$3),"")</f>
        <v>0.63101940055038541</v>
      </c>
      <c r="F88" s="23">
        <f>IFERROR(DMIN(코딩자료!$A$1:$BB$74,"D_total",$K$2:$L$3),"")</f>
        <v>2.625</v>
      </c>
      <c r="G88" s="23">
        <f>IFERROR(DMAX(코딩자료!$A$1:$BB$74,"D_total",$K$2:$L$3),"")</f>
        <v>5</v>
      </c>
    </row>
    <row r="89" spans="1:7" x14ac:dyDescent="0.45">
      <c r="A89" s="16" t="s">
        <v>400</v>
      </c>
      <c r="B89" s="16" t="s">
        <v>430</v>
      </c>
      <c r="C89" s="9">
        <f>IFERROR(DCOUNT(코딩자료!$A$1:$BB$74,"D_sub1_인프라범용성",$K$2:$L$3),"")</f>
        <v>32</v>
      </c>
      <c r="D89" s="22">
        <f>IFERROR(DAVERAGE(코딩자료!$A$1:$BB$74,"D_sub1_인프라범용성",$K$2:$L$3),"")</f>
        <v>3.6875</v>
      </c>
      <c r="E89" s="22">
        <f>IFERROR(DSTDEV(코딩자료!$A$1:$BB$74,"D_sub1_인프라범용성",$K$2:$L$3),"")</f>
        <v>0.86835030838050387</v>
      </c>
      <c r="F89" s="23">
        <f>IFERROR(DMIN(코딩자료!$A$1:$BB$74,"D_sub1_인프라범용성",$K$2:$L$3),"")</f>
        <v>1.5</v>
      </c>
      <c r="G89" s="23">
        <f>IFERROR(DMAX(코딩자료!$A$1:$BB$74,"D_sub1_인프라범용성",$K$2:$L$3),"")</f>
        <v>5</v>
      </c>
    </row>
    <row r="90" spans="1:7" x14ac:dyDescent="0.45">
      <c r="A90" s="16" t="s">
        <v>405</v>
      </c>
      <c r="B90" s="16" t="s">
        <v>430</v>
      </c>
      <c r="C90" s="9">
        <f>IFERROR(DCOUNT(코딩자료!$A$1:$BB$74,"D_sub2_탐지제어안정성",$K$2:$L$3),"")</f>
        <v>32</v>
      </c>
      <c r="D90" s="22">
        <f>IFERROR(DAVERAGE(코딩자료!$A$1:$BB$74,"D_sub2_탐지제어안정성",$K$2:$L$3),"")</f>
        <v>3.71875</v>
      </c>
      <c r="E90" s="22">
        <f>IFERROR(DSTDEV(코딩자료!$A$1:$BB$74,"D_sub2_탐지제어안정성",$K$2:$L$3),"")</f>
        <v>0.69488337383031873</v>
      </c>
      <c r="F90" s="23">
        <f>IFERROR(DMIN(코딩자료!$A$1:$BB$74,"D_sub2_탐지제어안정성",$K$2:$L$3),"")</f>
        <v>2.5</v>
      </c>
      <c r="G90" s="23">
        <f>IFERROR(DMAX(코딩자료!$A$1:$BB$74,"D_sub2_탐지제어안정성",$K$2:$L$3),"")</f>
        <v>5</v>
      </c>
    </row>
    <row r="91" spans="1:7" x14ac:dyDescent="0.45">
      <c r="A91" s="16" t="s">
        <v>408</v>
      </c>
      <c r="B91" s="16" t="s">
        <v>430</v>
      </c>
      <c r="C91" s="9">
        <f>IFERROR(DCOUNT(코딩자료!$A$1:$BB$74,"D_sub3_오탐필터링",$K$2:$L$3),"")</f>
        <v>32</v>
      </c>
      <c r="D91" s="22">
        <f>IFERROR(DAVERAGE(코딩자료!$A$1:$BB$74,"D_sub3_오탐필터링",$K$2:$L$3),"")</f>
        <v>3.484375</v>
      </c>
      <c r="E91" s="22">
        <f>IFERROR(DSTDEV(코딩자료!$A$1:$BB$74,"D_sub3_오탐필터링",$K$2:$L$3),"")</f>
        <v>0.89338406110986845</v>
      </c>
      <c r="F91" s="23">
        <f>IFERROR(DMIN(코딩자료!$A$1:$BB$74,"D_sub3_오탐필터링",$K$2:$L$3),"")</f>
        <v>2</v>
      </c>
      <c r="G91" s="23">
        <f>IFERROR(DMAX(코딩자료!$A$1:$BB$74,"D_sub3_오탐필터링",$K$2:$L$3),"")</f>
        <v>5</v>
      </c>
    </row>
    <row r="92" spans="1:7" x14ac:dyDescent="0.45">
      <c r="A92" s="16" t="s">
        <v>411</v>
      </c>
      <c r="B92" s="16" t="s">
        <v>430</v>
      </c>
      <c r="C92" s="9">
        <f>IFERROR(DCOUNT(코딩자료!$A$1:$BB$74,"D_sub4_알림전파즉각성",$K$2:$L$3),"")</f>
        <v>32</v>
      </c>
      <c r="D92" s="22">
        <f>IFERROR(DAVERAGE(코딩자료!$A$1:$BB$74,"D_sub4_알림전파즉각성",$K$2:$L$3),"")</f>
        <v>3.984375</v>
      </c>
      <c r="E92" s="22">
        <f>IFERROR(DSTDEV(코딩자료!$A$1:$BB$74,"D_sub4_알림전파즉각성",$K$2:$L$3),"")</f>
        <v>0.72383805665222145</v>
      </c>
      <c r="F92" s="23">
        <f>IFERROR(DMIN(코딩자료!$A$1:$BB$74,"D_sub4_알림전파즉각성",$K$2:$L$3),"")</f>
        <v>2.5</v>
      </c>
      <c r="G92" s="23">
        <f>IFERROR(DMAX(코딩자료!$A$1:$BB$74,"D_sub4_알림전파즉각성",$K$2:$L$3),"")</f>
        <v>5</v>
      </c>
    </row>
    <row r="94" spans="1:7" x14ac:dyDescent="0.45">
      <c r="A94" s="12" t="s">
        <v>486</v>
      </c>
    </row>
    <row r="95" spans="1:7" x14ac:dyDescent="0.45">
      <c r="A95" s="14" t="s">
        <v>487</v>
      </c>
    </row>
    <row r="96" spans="1:7" ht="32" x14ac:dyDescent="0.45">
      <c r="A96" s="4" t="s">
        <v>488</v>
      </c>
      <c r="B96" s="4" t="s">
        <v>45</v>
      </c>
      <c r="C96" s="4" t="s">
        <v>489</v>
      </c>
      <c r="D96" s="4" t="s">
        <v>490</v>
      </c>
      <c r="E96" s="4" t="s">
        <v>453</v>
      </c>
      <c r="F96" s="4" t="s">
        <v>454</v>
      </c>
    </row>
    <row r="97" spans="1:7" x14ac:dyDescent="0.45">
      <c r="A97" s="16" t="s">
        <v>70</v>
      </c>
      <c r="B97" s="16" t="s">
        <v>430</v>
      </c>
      <c r="C97" s="9">
        <f>DCOUNT(코딩자료!$A$1:$BB$74,"D1",$K$2:$L$3)</f>
        <v>32</v>
      </c>
      <c r="D97" s="9">
        <f>COUNTIFS(코딩자료!$C$2:$C$74,1,코딩자료!$BA$2:$BA$74,1)-C97</f>
        <v>0</v>
      </c>
      <c r="E97" s="22">
        <f>IFERROR(DAVERAGE(코딩자료!$A$1:$BB$74,"D1",$K$2:$L$3),"")</f>
        <v>3.6875</v>
      </c>
      <c r="F97" s="22">
        <f>IFERROR(DSTDEV(코딩자료!$A$1:$BB$74,"D1",$K$2:$L$3),"")</f>
        <v>0.99798183447169209</v>
      </c>
    </row>
    <row r="98" spans="1:7" x14ac:dyDescent="0.45">
      <c r="A98" s="16" t="s">
        <v>71</v>
      </c>
      <c r="B98" s="16" t="s">
        <v>430</v>
      </c>
      <c r="C98" s="9">
        <f>DCOUNT(코딩자료!$A$1:$BB$74,"D2",$K$2:$L$3)</f>
        <v>32</v>
      </c>
      <c r="D98" s="9">
        <f>COUNTIFS(코딩자료!$C$2:$C$74,1,코딩자료!$BA$2:$BA$74,1)-C98</f>
        <v>0</v>
      </c>
      <c r="E98" s="22">
        <f>IFERROR(DAVERAGE(코딩자료!$A$1:$BB$74,"D2",$K$2:$L$3),"")</f>
        <v>3.6875</v>
      </c>
      <c r="F98" s="22">
        <f>IFERROR(DSTDEV(코딩자료!$A$1:$BB$74,"D2",$K$2:$L$3),"")</f>
        <v>0.96511740886962849</v>
      </c>
    </row>
    <row r="99" spans="1:7" x14ac:dyDescent="0.45">
      <c r="A99" s="16" t="s">
        <v>72</v>
      </c>
      <c r="B99" s="16" t="s">
        <v>430</v>
      </c>
      <c r="C99" s="9">
        <f>DCOUNT(코딩자료!$A$1:$BB$74,"D3",$K$2:$L$3)</f>
        <v>32</v>
      </c>
      <c r="D99" s="9">
        <f>COUNTIFS(코딩자료!$C$2:$C$74,1,코딩자료!$BA$2:$BA$74,1)-C99</f>
        <v>0</v>
      </c>
      <c r="E99" s="22">
        <f>IFERROR(DAVERAGE(코딩자료!$A$1:$BB$74,"D3",$K$2:$L$3),"")</f>
        <v>3.9375</v>
      </c>
      <c r="F99" s="22">
        <f>IFERROR(DSTDEV(코딩자료!$A$1:$BB$74,"D3",$K$2:$L$3),"")</f>
        <v>0.66901468232116579</v>
      </c>
    </row>
    <row r="100" spans="1:7" x14ac:dyDescent="0.45">
      <c r="A100" s="16" t="s">
        <v>73</v>
      </c>
      <c r="B100" s="16" t="s">
        <v>430</v>
      </c>
      <c r="C100" s="9">
        <f>DCOUNT(코딩자료!$A$1:$BB$74,"D4",$K$2:$L$3)</f>
        <v>32</v>
      </c>
      <c r="D100" s="9">
        <f>COUNTIFS(코딩자료!$C$2:$C$74,1,코딩자료!$BA$2:$BA$74,1)-C100</f>
        <v>0</v>
      </c>
      <c r="E100" s="22">
        <f>IFERROR(DAVERAGE(코딩자료!$A$1:$BB$74,"D4",$K$2:$L$3),"")</f>
        <v>3.5</v>
      </c>
      <c r="F100" s="22">
        <f>IFERROR(DSTDEV(코딩자료!$A$1:$BB$74,"D4",$K$2:$L$3),"")</f>
        <v>0.98373875367592944</v>
      </c>
    </row>
    <row r="101" spans="1:7" x14ac:dyDescent="0.45">
      <c r="A101" s="16" t="s">
        <v>74</v>
      </c>
      <c r="B101" s="16" t="s">
        <v>430</v>
      </c>
      <c r="C101" s="9">
        <f>DCOUNT(코딩자료!$A$1:$BB$74,"D5",$K$2:$L$3)</f>
        <v>32</v>
      </c>
      <c r="D101" s="9">
        <f>COUNTIFS(코딩자료!$C$2:$C$74,1,코딩자료!$BA$2:$BA$74,1)-C101</f>
        <v>0</v>
      </c>
      <c r="E101" s="22">
        <f>IFERROR(DAVERAGE(코딩자료!$A$1:$BB$74,"D5",$K$2:$L$3),"")</f>
        <v>3.53125</v>
      </c>
      <c r="F101" s="22">
        <f>IFERROR(DSTDEV(코딩자료!$A$1:$BB$74,"D5",$K$2:$L$3),"")</f>
        <v>0.94985143150678242</v>
      </c>
    </row>
    <row r="102" spans="1:7" x14ac:dyDescent="0.45">
      <c r="A102" s="16" t="s">
        <v>75</v>
      </c>
      <c r="B102" s="16" t="s">
        <v>430</v>
      </c>
      <c r="C102" s="9">
        <f>DCOUNT(코딩자료!$A$1:$BB$74,"D6",$K$2:$L$3)</f>
        <v>32</v>
      </c>
      <c r="D102" s="9">
        <f>COUNTIFS(코딩자료!$C$2:$C$74,1,코딩자료!$BA$2:$BA$74,1)-C102</f>
        <v>0</v>
      </c>
      <c r="E102" s="22">
        <f>IFERROR(DAVERAGE(코딩자료!$A$1:$BB$74,"D6",$K$2:$L$3),"")</f>
        <v>3.4375</v>
      </c>
      <c r="F102" s="22">
        <f>IFERROR(DSTDEV(코딩자료!$A$1:$BB$74,"D6",$K$2:$L$3),"")</f>
        <v>0.94825816547346253</v>
      </c>
    </row>
    <row r="103" spans="1:7" x14ac:dyDescent="0.45">
      <c r="A103" s="16" t="s">
        <v>76</v>
      </c>
      <c r="B103" s="16" t="s">
        <v>430</v>
      </c>
      <c r="C103" s="9">
        <f>DCOUNT(코딩자료!$A$1:$BB$74,"D7",$K$2:$L$3)</f>
        <v>32</v>
      </c>
      <c r="D103" s="9">
        <f>COUNTIFS(코딩자료!$C$2:$C$74,1,코딩자료!$BA$2:$BA$74,1)-C103</f>
        <v>0</v>
      </c>
      <c r="E103" s="22">
        <f>IFERROR(DAVERAGE(코딩자료!$A$1:$BB$74,"D7",$K$2:$L$3),"")</f>
        <v>4.125</v>
      </c>
      <c r="F103" s="22">
        <f>IFERROR(DSTDEV(코딩자료!$A$1:$BB$74,"D7",$K$2:$L$3),"")</f>
        <v>0.75134288379691072</v>
      </c>
    </row>
    <row r="104" spans="1:7" x14ac:dyDescent="0.45">
      <c r="A104" s="16" t="s">
        <v>77</v>
      </c>
      <c r="B104" s="16" t="s">
        <v>430</v>
      </c>
      <c r="C104" s="9">
        <f>DCOUNT(코딩자료!$A$1:$BB$74,"D8",$K$2:$L$3)</f>
        <v>32</v>
      </c>
      <c r="D104" s="9">
        <f>COUNTIFS(코딩자료!$C$2:$C$74,1,코딩자료!$BA$2:$BA$74,1)-C104</f>
        <v>0</v>
      </c>
      <c r="E104" s="22">
        <f>IFERROR(DAVERAGE(코딩자료!$A$1:$BB$74,"D8",$K$2:$L$3),"")</f>
        <v>3.84375</v>
      </c>
      <c r="F104" s="22">
        <f>IFERROR(DSTDEV(코딩자료!$A$1:$BB$74,"D8",$K$2:$L$3),"")</f>
        <v>0.84660136485109794</v>
      </c>
    </row>
    <row r="105" spans="1:7" x14ac:dyDescent="0.45">
      <c r="A105" s="16" t="s">
        <v>78</v>
      </c>
      <c r="B105" s="16" t="s">
        <v>430</v>
      </c>
      <c r="C105" s="9">
        <f>DCOUNT(코딩자료!$A$1:$BB$74,"E1",$K$2:$L$3)</f>
        <v>32</v>
      </c>
      <c r="D105" s="9">
        <f>COUNTIFS(코딩자료!$C$2:$C$74,1,코딩자료!$BA$2:$BA$74,1)-C105</f>
        <v>0</v>
      </c>
      <c r="E105" s="22">
        <f>IFERROR(DAVERAGE(코딩자료!$A$1:$BB$74,"E1",$K$2:$L$3),"")</f>
        <v>3.5</v>
      </c>
      <c r="F105" s="22">
        <f>IFERROR(DSTDEV(코딩자료!$A$1:$BB$74,"E1",$K$2:$L$3),"")</f>
        <v>1.2951522516054665</v>
      </c>
    </row>
    <row r="106" spans="1:7" x14ac:dyDescent="0.45">
      <c r="A106" s="16" t="s">
        <v>79</v>
      </c>
      <c r="B106" s="16" t="s">
        <v>430</v>
      </c>
      <c r="C106" s="9">
        <f>DCOUNT(코딩자료!$A$1:$BB$74,"E2",$K$2:$L$3)</f>
        <v>32</v>
      </c>
      <c r="D106" s="9">
        <f>COUNTIFS(코딩자료!$C$2:$C$74,1,코딩자료!$BA$2:$BA$74,1)-C106</f>
        <v>0</v>
      </c>
      <c r="E106" s="22">
        <f>IFERROR(DAVERAGE(코딩자료!$A$1:$BB$74,"E2",$K$2:$L$3),"")</f>
        <v>3.5625</v>
      </c>
      <c r="F106" s="22">
        <f>IFERROR(DSTDEV(코딩자료!$A$1:$BB$74,"E2",$K$2:$L$3),"")</f>
        <v>1.2164862143392416</v>
      </c>
    </row>
    <row r="107" spans="1:7" x14ac:dyDescent="0.45">
      <c r="A107" s="16" t="s">
        <v>80</v>
      </c>
      <c r="B107" s="16" t="s">
        <v>430</v>
      </c>
      <c r="C107" s="9">
        <f>DCOUNT(코딩자료!$A$1:$BB$74,"E3",$K$2:$L$3)</f>
        <v>32</v>
      </c>
      <c r="D107" s="9">
        <f>COUNTIFS(코딩자료!$C$2:$C$74,1,코딩자료!$BA$2:$BA$74,1)-C107</f>
        <v>0</v>
      </c>
      <c r="E107" s="22">
        <f>IFERROR(DAVERAGE(코딩자료!$A$1:$BB$74,"E3",$K$2:$L$3),"")</f>
        <v>3.90625</v>
      </c>
      <c r="F107" s="22">
        <f>IFERROR(DSTDEV(코딩자료!$A$1:$BB$74,"E3",$K$2:$L$3),"")</f>
        <v>0.96250261834583106</v>
      </c>
    </row>
    <row r="108" spans="1:7" x14ac:dyDescent="0.45">
      <c r="A108" s="16" t="s">
        <v>81</v>
      </c>
      <c r="B108" s="16" t="s">
        <v>430</v>
      </c>
      <c r="C108" s="9">
        <f>DCOUNT(코딩자료!$A$1:$BB$74,"E4",$K$2:$L$3)</f>
        <v>32</v>
      </c>
      <c r="D108" s="9">
        <f>COUNTIFS(코딩자료!$C$2:$C$74,1,코딩자료!$BA$2:$BA$74,1)-C108</f>
        <v>0</v>
      </c>
      <c r="E108" s="22">
        <f>IFERROR(DAVERAGE(코딩자료!$A$1:$BB$74,"E4",$K$2:$L$3),"")</f>
        <v>3.5625</v>
      </c>
      <c r="F108" s="22">
        <f>IFERROR(DSTDEV(코딩자료!$A$1:$BB$74,"E4",$K$2:$L$3),"")</f>
        <v>1.1341473989656923</v>
      </c>
    </row>
    <row r="110" spans="1:7" x14ac:dyDescent="0.45">
      <c r="A110" s="12" t="s">
        <v>491</v>
      </c>
    </row>
    <row r="111" spans="1:7" x14ac:dyDescent="0.45">
      <c r="A111" s="4" t="s">
        <v>451</v>
      </c>
      <c r="B111" s="4" t="s">
        <v>45</v>
      </c>
      <c r="C111" s="4" t="s">
        <v>452</v>
      </c>
      <c r="D111" s="4" t="s">
        <v>453</v>
      </c>
      <c r="E111" s="4" t="s">
        <v>454</v>
      </c>
      <c r="F111" s="4" t="s">
        <v>455</v>
      </c>
      <c r="G111" s="4" t="s">
        <v>456</v>
      </c>
    </row>
    <row r="112" spans="1:7" x14ac:dyDescent="0.45">
      <c r="A112" s="16" t="s">
        <v>58</v>
      </c>
      <c r="B112" s="16" t="s">
        <v>430</v>
      </c>
      <c r="C112" s="9">
        <f>IFERROR(DCOUNT(코딩자료!$A$1:$BB$74,"B1",$K$2:$L$3),"")</f>
        <v>32</v>
      </c>
      <c r="D112" s="22">
        <f>IFERROR(DAVERAGE(코딩자료!$A$1:$BB$74,"B1",$K$2:$L$3),"")</f>
        <v>3.8125</v>
      </c>
      <c r="E112" s="22">
        <f>IFERROR(DSTDEV(코딩자료!$A$1:$BB$74,"B1",$K$2:$L$3),"")</f>
        <v>0.85901293692612779</v>
      </c>
      <c r="F112" s="23">
        <f>IFERROR(DMIN(코딩자료!$A$1:$BB$74,"B1",$K$2:$L$3),"")</f>
        <v>2</v>
      </c>
      <c r="G112" s="23">
        <f>IFERROR(DMAX(코딩자료!$A$1:$BB$74,"B1",$K$2:$L$3),"")</f>
        <v>5</v>
      </c>
    </row>
    <row r="113" spans="1:7" x14ac:dyDescent="0.45">
      <c r="A113" s="16"/>
      <c r="B113" s="16" t="s">
        <v>441</v>
      </c>
      <c r="C113" s="9">
        <f>IFERROR(DCOUNT(코딩자료!$A$1:$BB$74,"B1",$K$5:$L$6),"")</f>
        <v>39</v>
      </c>
      <c r="D113" s="22">
        <f>IFERROR(DAVERAGE(코딩자료!$A$1:$BB$74,"B1",$K$5:$L$6),"")</f>
        <v>3.5128205128205128</v>
      </c>
      <c r="E113" s="22">
        <f>IFERROR(DSTDEV(코딩자료!$A$1:$BB$74,"B1",$K$5:$L$6),"")</f>
        <v>0.82308133740791578</v>
      </c>
      <c r="F113" s="23">
        <f>IFERROR(DMIN(코딩자료!$A$1:$BB$74,"B1",$K$5:$L$6),"")</f>
        <v>1</v>
      </c>
      <c r="G113" s="23">
        <f>IFERROR(DMAX(코딩자료!$A$1:$BB$74,"B1",$K$5:$L$6),"")</f>
        <v>5</v>
      </c>
    </row>
    <row r="114" spans="1:7" x14ac:dyDescent="0.45">
      <c r="A114" s="16"/>
      <c r="B114" s="16" t="s">
        <v>444</v>
      </c>
      <c r="C114" s="9">
        <f>IFERROR(DCOUNT(코딩자료!$A$1:$BB$74,"B1",$K$8:$K$9),"")</f>
        <v>71</v>
      </c>
      <c r="D114" s="22">
        <f>IFERROR(DAVERAGE(코딩자료!$A$1:$BB$74,"B1",$K$8:$K$9),"")</f>
        <v>3.647887323943662</v>
      </c>
      <c r="E114" s="22">
        <f>IFERROR(DSTDEV(코딩자료!$A$1:$BB$74,"B1",$K$8:$K$9),"")</f>
        <v>0.84681911627818385</v>
      </c>
      <c r="F114" s="23">
        <f>IFERROR(DMIN(코딩자료!$A$1:$BB$74,"B1",$K$8:$K$9),"")</f>
        <v>1</v>
      </c>
      <c r="G114" s="23">
        <f>IFERROR(DMAX(코딩자료!$A$1:$BB$74,"B1",$K$8:$K$9),"")</f>
        <v>5</v>
      </c>
    </row>
    <row r="115" spans="1:7" x14ac:dyDescent="0.45">
      <c r="A115" s="16" t="s">
        <v>59</v>
      </c>
      <c r="B115" s="16" t="s">
        <v>430</v>
      </c>
      <c r="C115" s="9">
        <f>IFERROR(DCOUNT(코딩자료!$A$1:$BB$74,"B2",$K$2:$L$3),"")</f>
        <v>32</v>
      </c>
      <c r="D115" s="22">
        <f>IFERROR(DAVERAGE(코딩자료!$A$1:$BB$74,"B2",$K$2:$L$3),"")</f>
        <v>4.25</v>
      </c>
      <c r="E115" s="22">
        <f>IFERROR(DSTDEV(코딩자료!$A$1:$BB$74,"B2",$K$2:$L$3),"")</f>
        <v>0.672021505032247</v>
      </c>
      <c r="F115" s="23">
        <f>IFERROR(DMIN(코딩자료!$A$1:$BB$74,"B2",$K$2:$L$3),"")</f>
        <v>3</v>
      </c>
      <c r="G115" s="23">
        <f>IFERROR(DMAX(코딩자료!$A$1:$BB$74,"B2",$K$2:$L$3),"")</f>
        <v>5</v>
      </c>
    </row>
    <row r="116" spans="1:7" x14ac:dyDescent="0.45">
      <c r="A116" s="16"/>
      <c r="B116" s="16" t="s">
        <v>441</v>
      </c>
      <c r="C116" s="9">
        <f>IFERROR(DCOUNT(코딩자료!$A$1:$BB$74,"B2",$K$5:$L$6),"")</f>
        <v>39</v>
      </c>
      <c r="D116" s="22">
        <f>IFERROR(DAVERAGE(코딩자료!$A$1:$BB$74,"B2",$K$5:$L$6),"")</f>
        <v>3.8717948717948718</v>
      </c>
      <c r="E116" s="22">
        <f>IFERROR(DSTDEV(코딩자료!$A$1:$BB$74,"B2",$K$5:$L$6),"")</f>
        <v>0.83286086471451493</v>
      </c>
      <c r="F116" s="23">
        <f>IFERROR(DMIN(코딩자료!$A$1:$BB$74,"B2",$K$5:$L$6),"")</f>
        <v>2</v>
      </c>
      <c r="G116" s="23">
        <f>IFERROR(DMAX(코딩자료!$A$1:$BB$74,"B2",$K$5:$L$6),"")</f>
        <v>5</v>
      </c>
    </row>
    <row r="117" spans="1:7" x14ac:dyDescent="0.45">
      <c r="A117" s="16"/>
      <c r="B117" s="16" t="s">
        <v>444</v>
      </c>
      <c r="C117" s="9">
        <f>IFERROR(DCOUNT(코딩자료!$A$1:$BB$74,"B2",$K$8:$K$9),"")</f>
        <v>71</v>
      </c>
      <c r="D117" s="22">
        <f>IFERROR(DAVERAGE(코딩자료!$A$1:$BB$74,"B2",$K$8:$K$9),"")</f>
        <v>4.042253521126761</v>
      </c>
      <c r="E117" s="22">
        <f>IFERROR(DSTDEV(코딩자료!$A$1:$BB$74,"B2",$K$8:$K$9),"")</f>
        <v>0.78260772363590192</v>
      </c>
      <c r="F117" s="23">
        <f>IFERROR(DMIN(코딩자료!$A$1:$BB$74,"B2",$K$8:$K$9),"")</f>
        <v>2</v>
      </c>
      <c r="G117" s="23">
        <f>IFERROR(DMAX(코딩자료!$A$1:$BB$74,"B2",$K$8:$K$9),"")</f>
        <v>5</v>
      </c>
    </row>
    <row r="118" spans="1:7" x14ac:dyDescent="0.45">
      <c r="A118" s="16" t="s">
        <v>60</v>
      </c>
      <c r="B118" s="16" t="s">
        <v>430</v>
      </c>
      <c r="C118" s="9">
        <f>IFERROR(DCOUNT(코딩자료!$A$1:$BB$74,"B3",$K$2:$L$3),"")</f>
        <v>32</v>
      </c>
      <c r="D118" s="22">
        <f>IFERROR(DAVERAGE(코딩자료!$A$1:$BB$74,"B3",$K$2:$L$3),"")</f>
        <v>3.9375</v>
      </c>
      <c r="E118" s="22">
        <f>IFERROR(DSTDEV(코딩자료!$A$1:$BB$74,"B3",$K$2:$L$3),"")</f>
        <v>0.71560937262835533</v>
      </c>
      <c r="F118" s="23">
        <f>IFERROR(DMIN(코딩자료!$A$1:$BB$74,"B3",$K$2:$L$3),"")</f>
        <v>3</v>
      </c>
      <c r="G118" s="23">
        <f>IFERROR(DMAX(코딩자료!$A$1:$BB$74,"B3",$K$2:$L$3),"")</f>
        <v>5</v>
      </c>
    </row>
    <row r="119" spans="1:7" x14ac:dyDescent="0.45">
      <c r="A119" s="16"/>
      <c r="B119" s="16" t="s">
        <v>441</v>
      </c>
      <c r="C119" s="9">
        <f>IFERROR(DCOUNT(코딩자료!$A$1:$BB$74,"B3",$K$5:$L$6),"")</f>
        <v>39</v>
      </c>
      <c r="D119" s="22">
        <f>IFERROR(DAVERAGE(코딩자료!$A$1:$BB$74,"B3",$K$5:$L$6),"")</f>
        <v>3.2564102564102564</v>
      </c>
      <c r="E119" s="22">
        <f>IFERROR(DSTDEV(코딩자료!$A$1:$BB$74,"B3",$K$5:$L$6),"")</f>
        <v>1.0691351329572971</v>
      </c>
      <c r="F119" s="23">
        <f>IFERROR(DMIN(코딩자료!$A$1:$BB$74,"B3",$K$5:$L$6),"")</f>
        <v>1</v>
      </c>
      <c r="G119" s="23">
        <f>IFERROR(DMAX(코딩자료!$A$1:$BB$74,"B3",$K$5:$L$6),"")</f>
        <v>5</v>
      </c>
    </row>
    <row r="120" spans="1:7" x14ac:dyDescent="0.45">
      <c r="A120" s="16"/>
      <c r="B120" s="16" t="s">
        <v>444</v>
      </c>
      <c r="C120" s="9">
        <f>IFERROR(DCOUNT(코딩자료!$A$1:$BB$74,"B3",$K$8:$K$9),"")</f>
        <v>71</v>
      </c>
      <c r="D120" s="22">
        <f>IFERROR(DAVERAGE(코딩자료!$A$1:$BB$74,"B3",$K$8:$K$9),"")</f>
        <v>3.563380281690141</v>
      </c>
      <c r="E120" s="22">
        <f>IFERROR(DSTDEV(코딩자료!$A$1:$BB$74,"B3",$K$8:$K$9),"")</f>
        <v>0.98172434836722999</v>
      </c>
      <c r="F120" s="23">
        <f>IFERROR(DMIN(코딩자료!$A$1:$BB$74,"B3",$K$8:$K$9),"")</f>
        <v>1</v>
      </c>
      <c r="G120" s="23">
        <f>IFERROR(DMAX(코딩자료!$A$1:$BB$74,"B3",$K$8:$K$9),"")</f>
        <v>5</v>
      </c>
    </row>
    <row r="121" spans="1:7" x14ac:dyDescent="0.45">
      <c r="A121" s="16" t="s">
        <v>61</v>
      </c>
      <c r="B121" s="16" t="s">
        <v>430</v>
      </c>
      <c r="C121" s="9">
        <f>IFERROR(DCOUNT(코딩자료!$A$1:$BB$74,"B4",$K$2:$L$3),"")</f>
        <v>32</v>
      </c>
      <c r="D121" s="22">
        <f>IFERROR(DAVERAGE(코딩자료!$A$1:$BB$74,"B4",$K$2:$L$3),"")</f>
        <v>4</v>
      </c>
      <c r="E121" s="22">
        <f>IFERROR(DSTDEV(코딩자료!$A$1:$BB$74,"B4",$K$2:$L$3),"")</f>
        <v>0.84242353917423196</v>
      </c>
      <c r="F121" s="23">
        <f>IFERROR(DMIN(코딩자료!$A$1:$BB$74,"B4",$K$2:$L$3),"")</f>
        <v>2</v>
      </c>
      <c r="G121" s="23">
        <f>IFERROR(DMAX(코딩자료!$A$1:$BB$74,"B4",$K$2:$L$3),"")</f>
        <v>5</v>
      </c>
    </row>
    <row r="122" spans="1:7" x14ac:dyDescent="0.45">
      <c r="A122" s="16"/>
      <c r="B122" s="16" t="s">
        <v>441</v>
      </c>
      <c r="C122" s="9">
        <f>IFERROR(DCOUNT(코딩자료!$A$1:$BB$74,"B4",$K$5:$L$6),"")</f>
        <v>39</v>
      </c>
      <c r="D122" s="22">
        <f>IFERROR(DAVERAGE(코딩자료!$A$1:$BB$74,"B4",$K$5:$L$6),"")</f>
        <v>3.3846153846153846</v>
      </c>
      <c r="E122" s="22">
        <f>IFERROR(DSTDEV(코딩자료!$A$1:$BB$74,"B4",$K$5:$L$6),"")</f>
        <v>1.0416430496647975</v>
      </c>
      <c r="F122" s="23">
        <f>IFERROR(DMIN(코딩자료!$A$1:$BB$74,"B4",$K$5:$L$6),"")</f>
        <v>1</v>
      </c>
      <c r="G122" s="23">
        <f>IFERROR(DMAX(코딩자료!$A$1:$BB$74,"B4",$K$5:$L$6),"")</f>
        <v>5</v>
      </c>
    </row>
    <row r="123" spans="1:7" x14ac:dyDescent="0.45">
      <c r="A123" s="16"/>
      <c r="B123" s="16" t="s">
        <v>444</v>
      </c>
      <c r="C123" s="9">
        <f>IFERROR(DCOUNT(코딩자료!$A$1:$BB$74,"B4",$K$8:$K$9),"")</f>
        <v>71</v>
      </c>
      <c r="D123" s="22">
        <f>IFERROR(DAVERAGE(코딩자료!$A$1:$BB$74,"B4",$K$8:$K$9),"")</f>
        <v>3.6619718309859155</v>
      </c>
      <c r="E123" s="22">
        <f>IFERROR(DSTDEV(코딩자료!$A$1:$BB$74,"B4",$K$8:$K$9),"")</f>
        <v>0.99919484689039184</v>
      </c>
      <c r="F123" s="23">
        <f>IFERROR(DMIN(코딩자료!$A$1:$BB$74,"B4",$K$8:$K$9),"")</f>
        <v>1</v>
      </c>
      <c r="G123" s="23">
        <f>IFERROR(DMAX(코딩자료!$A$1:$BB$74,"B4",$K$8:$K$9),"")</f>
        <v>5</v>
      </c>
    </row>
    <row r="124" spans="1:7" x14ac:dyDescent="0.45">
      <c r="A124" s="16" t="s">
        <v>62</v>
      </c>
      <c r="B124" s="16" t="s">
        <v>430</v>
      </c>
      <c r="C124" s="9">
        <f>IFERROR(DCOUNT(코딩자료!$A$1:$BB$74,"B5",$K$2:$L$3),"")</f>
        <v>32</v>
      </c>
      <c r="D124" s="22">
        <f>IFERROR(DAVERAGE(코딩자료!$A$1:$BB$74,"B5",$K$2:$L$3),"")</f>
        <v>3.9375</v>
      </c>
      <c r="E124" s="22">
        <f>IFERROR(DSTDEV(코딩자료!$A$1:$BB$74,"B5",$K$2:$L$3),"")</f>
        <v>0.84002688129030889</v>
      </c>
      <c r="F124" s="23">
        <f>IFERROR(DMIN(코딩자료!$A$1:$BB$74,"B5",$K$2:$L$3),"")</f>
        <v>2</v>
      </c>
      <c r="G124" s="23">
        <f>IFERROR(DMAX(코딩자료!$A$1:$BB$74,"B5",$K$2:$L$3),"")</f>
        <v>5</v>
      </c>
    </row>
    <row r="125" spans="1:7" x14ac:dyDescent="0.45">
      <c r="A125" s="16"/>
      <c r="B125" s="16" t="s">
        <v>441</v>
      </c>
      <c r="C125" s="9">
        <f>IFERROR(DCOUNT(코딩자료!$A$1:$BB$74,"B5",$K$5:$L$6),"")</f>
        <v>39</v>
      </c>
      <c r="D125" s="22">
        <f>IFERROR(DAVERAGE(코딩자료!$A$1:$BB$74,"B5",$K$5:$L$6),"")</f>
        <v>3.3846153846153846</v>
      </c>
      <c r="E125" s="22">
        <f>IFERROR(DSTDEV(코딩자료!$A$1:$BB$74,"B5",$K$5:$L$6),"")</f>
        <v>1.0416430496647975</v>
      </c>
      <c r="F125" s="23">
        <f>IFERROR(DMIN(코딩자료!$A$1:$BB$74,"B5",$K$5:$L$6),"")</f>
        <v>1</v>
      </c>
      <c r="G125" s="23">
        <f>IFERROR(DMAX(코딩자료!$A$1:$BB$74,"B5",$K$5:$L$6),"")</f>
        <v>5</v>
      </c>
    </row>
    <row r="126" spans="1:7" x14ac:dyDescent="0.45">
      <c r="A126" s="16"/>
      <c r="B126" s="16" t="s">
        <v>444</v>
      </c>
      <c r="C126" s="9">
        <f>IFERROR(DCOUNT(코딩자료!$A$1:$BB$74,"B5",$K$8:$K$9),"")</f>
        <v>71</v>
      </c>
      <c r="D126" s="22">
        <f>IFERROR(DAVERAGE(코딩자료!$A$1:$BB$74,"B5",$K$8:$K$9),"")</f>
        <v>3.6338028169014085</v>
      </c>
      <c r="E126" s="22">
        <f>IFERROR(DSTDEV(코딩자료!$A$1:$BB$74,"B5",$K$8:$K$9),"")</f>
        <v>0.98907513248804213</v>
      </c>
      <c r="F126" s="23">
        <f>IFERROR(DMIN(코딩자료!$A$1:$BB$74,"B5",$K$8:$K$9),"")</f>
        <v>1</v>
      </c>
      <c r="G126" s="23">
        <f>IFERROR(DMAX(코딩자료!$A$1:$BB$74,"B5",$K$8:$K$9),"")</f>
        <v>5</v>
      </c>
    </row>
    <row r="127" spans="1:7" x14ac:dyDescent="0.45">
      <c r="A127" s="16" t="s">
        <v>63</v>
      </c>
      <c r="B127" s="16" t="s">
        <v>430</v>
      </c>
      <c r="C127" s="9">
        <f>IFERROR(DCOUNT(코딩자료!$A$1:$BB$74,"B6",$K$2:$L$3),"")</f>
        <v>32</v>
      </c>
      <c r="D127" s="22">
        <f>IFERROR(DAVERAGE(코딩자료!$A$1:$BB$74,"B6",$K$2:$L$3),"")</f>
        <v>3.6875</v>
      </c>
      <c r="E127" s="22">
        <f>IFERROR(DSTDEV(코딩자료!$A$1:$BB$74,"B6",$K$2:$L$3),"")</f>
        <v>0.96511740886962849</v>
      </c>
      <c r="F127" s="23">
        <f>IFERROR(DMIN(코딩자료!$A$1:$BB$74,"B6",$K$2:$L$3),"")</f>
        <v>2</v>
      </c>
      <c r="G127" s="23">
        <f>IFERROR(DMAX(코딩자료!$A$1:$BB$74,"B6",$K$2:$L$3),"")</f>
        <v>5</v>
      </c>
    </row>
    <row r="128" spans="1:7" x14ac:dyDescent="0.45">
      <c r="A128" s="16"/>
      <c r="B128" s="16" t="s">
        <v>441</v>
      </c>
      <c r="C128" s="9">
        <f>IFERROR(DCOUNT(코딩자료!$A$1:$BB$74,"B6",$K$5:$L$6),"")</f>
        <v>39</v>
      </c>
      <c r="D128" s="22">
        <f>IFERROR(DAVERAGE(코딩자료!$A$1:$BB$74,"B6",$K$5:$L$6),"")</f>
        <v>3.1282051282051282</v>
      </c>
      <c r="E128" s="22">
        <f>IFERROR(DSTDEV(코딩자료!$A$1:$BB$74,"B6",$K$5:$L$6),"")</f>
        <v>1.173826114162059</v>
      </c>
      <c r="F128" s="23">
        <f>IFERROR(DMIN(코딩자료!$A$1:$BB$74,"B6",$K$5:$L$6),"")</f>
        <v>1</v>
      </c>
      <c r="G128" s="23">
        <f>IFERROR(DMAX(코딩자료!$A$1:$BB$74,"B6",$K$5:$L$6),"")</f>
        <v>5</v>
      </c>
    </row>
    <row r="129" spans="1:7" x14ac:dyDescent="0.45">
      <c r="A129" s="16"/>
      <c r="B129" s="16" t="s">
        <v>444</v>
      </c>
      <c r="C129" s="9">
        <f>IFERROR(DCOUNT(코딩자료!$A$1:$BB$74,"B6",$K$8:$K$9),"")</f>
        <v>71</v>
      </c>
      <c r="D129" s="22">
        <f>IFERROR(DAVERAGE(코딩자료!$A$1:$BB$74,"B6",$K$8:$K$9),"")</f>
        <v>3.380281690140845</v>
      </c>
      <c r="E129" s="22">
        <f>IFERROR(DSTDEV(코딩자료!$A$1:$BB$74,"B6",$K$8:$K$9),"")</f>
        <v>1.1131191334405262</v>
      </c>
      <c r="F129" s="23">
        <f>IFERROR(DMIN(코딩자료!$A$1:$BB$74,"B6",$K$8:$K$9),"")</f>
        <v>1</v>
      </c>
      <c r="G129" s="23">
        <f>IFERROR(DMAX(코딩자료!$A$1:$BB$74,"B6",$K$8:$K$9),"")</f>
        <v>5</v>
      </c>
    </row>
    <row r="130" spans="1:7" x14ac:dyDescent="0.45">
      <c r="A130" s="16" t="s">
        <v>64</v>
      </c>
      <c r="B130" s="16" t="s">
        <v>430</v>
      </c>
      <c r="C130" s="9">
        <f>IFERROR(DCOUNT(코딩자료!$A$1:$BB$74,"B7",$K$2:$L$3),"")</f>
        <v>32</v>
      </c>
      <c r="D130" s="22">
        <f>IFERROR(DAVERAGE(코딩자료!$A$1:$BB$74,"B7",$K$2:$L$3),"")</f>
        <v>4.28125</v>
      </c>
      <c r="E130" s="22">
        <f>IFERROR(DSTDEV(코딩자료!$A$1:$BB$74,"B7",$K$2:$L$3),"")</f>
        <v>0.63420638749186675</v>
      </c>
      <c r="F130" s="23">
        <f>IFERROR(DMIN(코딩자료!$A$1:$BB$74,"B7",$K$2:$L$3),"")</f>
        <v>3</v>
      </c>
      <c r="G130" s="23">
        <f>IFERROR(DMAX(코딩자료!$A$1:$BB$74,"B7",$K$2:$L$3),"")</f>
        <v>5</v>
      </c>
    </row>
    <row r="131" spans="1:7" x14ac:dyDescent="0.45">
      <c r="A131" s="16"/>
      <c r="B131" s="16" t="s">
        <v>441</v>
      </c>
      <c r="C131" s="9">
        <f>IFERROR(DCOUNT(코딩자료!$A$1:$BB$74,"B7",$K$5:$L$6),"")</f>
        <v>39</v>
      </c>
      <c r="D131" s="22">
        <f>IFERROR(DAVERAGE(코딩자료!$A$1:$BB$74,"B7",$K$5:$L$6),"")</f>
        <v>3.7179487179487181</v>
      </c>
      <c r="E131" s="22">
        <f>IFERROR(DSTDEV(코딩자료!$A$1:$BB$74,"B7",$K$5:$L$6),"")</f>
        <v>0.8568214807837885</v>
      </c>
      <c r="F131" s="23">
        <f>IFERROR(DMIN(코딩자료!$A$1:$BB$74,"B7",$K$5:$L$6),"")</f>
        <v>2</v>
      </c>
      <c r="G131" s="23">
        <f>IFERROR(DMAX(코딩자료!$A$1:$BB$74,"B7",$K$5:$L$6),"")</f>
        <v>5</v>
      </c>
    </row>
    <row r="132" spans="1:7" x14ac:dyDescent="0.45">
      <c r="A132" s="16"/>
      <c r="B132" s="16" t="s">
        <v>444</v>
      </c>
      <c r="C132" s="9">
        <f>IFERROR(DCOUNT(코딩자료!$A$1:$BB$74,"B7",$K$8:$K$9),"")</f>
        <v>71</v>
      </c>
      <c r="D132" s="22">
        <f>IFERROR(DAVERAGE(코딩자료!$A$1:$BB$74,"B7",$K$8:$K$9),"")</f>
        <v>3.971830985915493</v>
      </c>
      <c r="E132" s="22">
        <f>IFERROR(DSTDEV(코딩자료!$A$1:$BB$74,"B7",$K$8:$K$9),"")</f>
        <v>0.81014691764458058</v>
      </c>
      <c r="F132" s="23">
        <f>IFERROR(DMIN(코딩자료!$A$1:$BB$74,"B7",$K$8:$K$9),"")</f>
        <v>2</v>
      </c>
      <c r="G132" s="23">
        <f>IFERROR(DMAX(코딩자료!$A$1:$BB$74,"B7",$K$8:$K$9),"")</f>
        <v>5</v>
      </c>
    </row>
    <row r="133" spans="1:7" x14ac:dyDescent="0.45">
      <c r="A133" s="16" t="s">
        <v>65</v>
      </c>
      <c r="B133" s="16" t="s">
        <v>430</v>
      </c>
      <c r="C133" s="9">
        <f>IFERROR(DCOUNT(코딩자료!$A$1:$BB$74,"B8",$K$2:$L$3),"")</f>
        <v>32</v>
      </c>
      <c r="D133" s="22">
        <f>IFERROR(DAVERAGE(코딩자료!$A$1:$BB$74,"B8",$K$2:$L$3),"")</f>
        <v>4.25</v>
      </c>
      <c r="E133" s="22">
        <f>IFERROR(DSTDEV(코딩자료!$A$1:$BB$74,"B8",$K$2:$L$3),"")</f>
        <v>0.672021505032247</v>
      </c>
      <c r="F133" s="23">
        <f>IFERROR(DMIN(코딩자료!$A$1:$BB$74,"B8",$K$2:$L$3),"")</f>
        <v>3</v>
      </c>
      <c r="G133" s="23">
        <f>IFERROR(DMAX(코딩자료!$A$1:$BB$74,"B8",$K$2:$L$3),"")</f>
        <v>5</v>
      </c>
    </row>
    <row r="134" spans="1:7" x14ac:dyDescent="0.45">
      <c r="A134" s="16"/>
      <c r="B134" s="16" t="s">
        <v>441</v>
      </c>
      <c r="C134" s="9">
        <f>IFERROR(DCOUNT(코딩자료!$A$1:$BB$74,"B8",$K$5:$L$6),"")</f>
        <v>39</v>
      </c>
      <c r="D134" s="22">
        <f>IFERROR(DAVERAGE(코딩자료!$A$1:$BB$74,"B8",$K$5:$L$6),"")</f>
        <v>3.6153846153846154</v>
      </c>
      <c r="E134" s="22">
        <f>IFERROR(DSTDEV(코딩자료!$A$1:$BB$74,"B8",$K$5:$L$6),"")</f>
        <v>0.90656624036974676</v>
      </c>
      <c r="F134" s="23">
        <f>IFERROR(DMIN(코딩자료!$A$1:$BB$74,"B8",$K$5:$L$6),"")</f>
        <v>1</v>
      </c>
      <c r="G134" s="23">
        <f>IFERROR(DMAX(코딩자료!$A$1:$BB$74,"B8",$K$5:$L$6),"")</f>
        <v>5</v>
      </c>
    </row>
    <row r="135" spans="1:7" x14ac:dyDescent="0.45">
      <c r="A135" s="16"/>
      <c r="B135" s="16" t="s">
        <v>444</v>
      </c>
      <c r="C135" s="9">
        <f>IFERROR(DCOUNT(코딩자료!$A$1:$BB$74,"B8",$K$8:$K$9),"")</f>
        <v>71</v>
      </c>
      <c r="D135" s="22">
        <f>IFERROR(DAVERAGE(코딩자료!$A$1:$BB$74,"B8",$K$8:$K$9),"")</f>
        <v>3.9014084507042255</v>
      </c>
      <c r="E135" s="22">
        <f>IFERROR(DSTDEV(코딩자료!$A$1:$BB$74,"B8",$K$8:$K$9),"")</f>
        <v>0.86445572599947584</v>
      </c>
      <c r="F135" s="23">
        <f>IFERROR(DMIN(코딩자료!$A$1:$BB$74,"B8",$K$8:$K$9),"")</f>
        <v>1</v>
      </c>
      <c r="G135" s="23">
        <f>IFERROR(DMAX(코딩자료!$A$1:$BB$74,"B8",$K$8:$K$9),"")</f>
        <v>5</v>
      </c>
    </row>
    <row r="136" spans="1:7" x14ac:dyDescent="0.45">
      <c r="A136" s="16" t="s">
        <v>66</v>
      </c>
      <c r="B136" s="16" t="s">
        <v>430</v>
      </c>
      <c r="C136" s="9">
        <f>IFERROR(DCOUNT(코딩자료!$A$1:$BB$74,"C1",$K$2:$L$3),"")</f>
        <v>32</v>
      </c>
      <c r="D136" s="22">
        <f>IFERROR(DAVERAGE(코딩자료!$A$1:$BB$74,"C1",$K$2:$L$3),"")</f>
        <v>3.21875</v>
      </c>
      <c r="E136" s="22">
        <f>IFERROR(DSTDEV(코딩자료!$A$1:$BB$74,"C1",$K$2:$L$3),"")</f>
        <v>1.0993949949125246</v>
      </c>
      <c r="F136" s="23">
        <f>IFERROR(DMIN(코딩자료!$A$1:$BB$74,"C1",$K$2:$L$3),"")</f>
        <v>1</v>
      </c>
      <c r="G136" s="23">
        <f>IFERROR(DMAX(코딩자료!$A$1:$BB$74,"C1",$K$2:$L$3),"")</f>
        <v>5</v>
      </c>
    </row>
    <row r="137" spans="1:7" x14ac:dyDescent="0.45">
      <c r="A137" s="16"/>
      <c r="B137" s="16" t="s">
        <v>441</v>
      </c>
      <c r="C137" s="9">
        <f>IFERROR(DCOUNT(코딩자료!$A$1:$BB$74,"C1",$K$5:$L$6),"")</f>
        <v>39</v>
      </c>
      <c r="D137" s="22">
        <f>IFERROR(DAVERAGE(코딩자료!$A$1:$BB$74,"C1",$K$5:$L$6),"")</f>
        <v>3.5641025641025643</v>
      </c>
      <c r="E137" s="22">
        <f>IFERROR(DSTDEV(코딩자료!$A$1:$BB$74,"C1",$K$5:$L$6),"")</f>
        <v>1.2310644045504471</v>
      </c>
      <c r="F137" s="23">
        <f>IFERROR(DMIN(코딩자료!$A$1:$BB$74,"C1",$K$5:$L$6),"")</f>
        <v>1</v>
      </c>
      <c r="G137" s="23">
        <f>IFERROR(DMAX(코딩자료!$A$1:$BB$74,"C1",$K$5:$L$6),"")</f>
        <v>5</v>
      </c>
    </row>
    <row r="138" spans="1:7" x14ac:dyDescent="0.45">
      <c r="A138" s="16"/>
      <c r="B138" s="16" t="s">
        <v>444</v>
      </c>
      <c r="C138" s="9">
        <f>IFERROR(DCOUNT(코딩자료!$A$1:$BB$74,"C1",$K$8:$K$9),"")</f>
        <v>71</v>
      </c>
      <c r="D138" s="22">
        <f>IFERROR(DAVERAGE(코딩자료!$A$1:$BB$74,"C1",$K$8:$K$9),"")</f>
        <v>3.408450704225352</v>
      </c>
      <c r="E138" s="22">
        <f>IFERROR(DSTDEV(코딩자료!$A$1:$BB$74,"C1",$K$8:$K$9),"")</f>
        <v>1.1781033763606463</v>
      </c>
      <c r="F138" s="23">
        <f>IFERROR(DMIN(코딩자료!$A$1:$BB$74,"C1",$K$8:$K$9),"")</f>
        <v>1</v>
      </c>
      <c r="G138" s="23">
        <f>IFERROR(DMAX(코딩자료!$A$1:$BB$74,"C1",$K$8:$K$9),"")</f>
        <v>5</v>
      </c>
    </row>
    <row r="139" spans="1:7" x14ac:dyDescent="0.45">
      <c r="A139" s="16" t="s">
        <v>67</v>
      </c>
      <c r="B139" s="16" t="s">
        <v>430</v>
      </c>
      <c r="C139" s="9">
        <f>IFERROR(DCOUNT(코딩자료!$A$1:$BB$74,"C2",$K$2:$L$3),"")</f>
        <v>32</v>
      </c>
      <c r="D139" s="22">
        <f>IFERROR(DAVERAGE(코딩자료!$A$1:$BB$74,"C2",$K$2:$L$3),"")</f>
        <v>3.09375</v>
      </c>
      <c r="E139" s="22">
        <f>IFERROR(DSTDEV(코딩자료!$A$1:$BB$74,"C2",$K$2:$L$3),"")</f>
        <v>1.1738927521491846</v>
      </c>
      <c r="F139" s="23">
        <f>IFERROR(DMIN(코딩자료!$A$1:$BB$74,"C2",$K$2:$L$3),"")</f>
        <v>1</v>
      </c>
      <c r="G139" s="23">
        <f>IFERROR(DMAX(코딩자료!$A$1:$BB$74,"C2",$K$2:$L$3),"")</f>
        <v>5</v>
      </c>
    </row>
    <row r="140" spans="1:7" x14ac:dyDescent="0.45">
      <c r="A140" s="16"/>
      <c r="B140" s="16" t="s">
        <v>441</v>
      </c>
      <c r="C140" s="9">
        <f>IFERROR(DCOUNT(코딩자료!$A$1:$BB$74,"C2",$K$5:$L$6),"")</f>
        <v>39</v>
      </c>
      <c r="D140" s="22">
        <f>IFERROR(DAVERAGE(코딩자료!$A$1:$BB$74,"C2",$K$5:$L$6),"")</f>
        <v>3.6153846153846154</v>
      </c>
      <c r="E140" s="22">
        <f>IFERROR(DSTDEV(코딩자료!$A$1:$BB$74,"C2",$K$5:$L$6),"")</f>
        <v>1.1611107344486236</v>
      </c>
      <c r="F140" s="23">
        <f>IFERROR(DMIN(코딩자료!$A$1:$BB$74,"C2",$K$5:$L$6),"")</f>
        <v>1</v>
      </c>
      <c r="G140" s="23">
        <f>IFERROR(DMAX(코딩자료!$A$1:$BB$74,"C2",$K$5:$L$6),"")</f>
        <v>5</v>
      </c>
    </row>
    <row r="141" spans="1:7" x14ac:dyDescent="0.45">
      <c r="A141" s="16"/>
      <c r="B141" s="16" t="s">
        <v>444</v>
      </c>
      <c r="C141" s="9">
        <f>IFERROR(DCOUNT(코딩자료!$A$1:$BB$74,"C2",$K$8:$K$9),"")</f>
        <v>71</v>
      </c>
      <c r="D141" s="22">
        <f>IFERROR(DAVERAGE(코딩자료!$A$1:$BB$74,"C2",$K$8:$K$9),"")</f>
        <v>3.380281690140845</v>
      </c>
      <c r="E141" s="22">
        <f>IFERROR(DSTDEV(코딩자료!$A$1:$BB$74,"C2",$K$8:$K$9),"")</f>
        <v>1.1876290568439116</v>
      </c>
      <c r="F141" s="23">
        <f>IFERROR(DMIN(코딩자료!$A$1:$BB$74,"C2",$K$8:$K$9),"")</f>
        <v>1</v>
      </c>
      <c r="G141" s="23">
        <f>IFERROR(DMAX(코딩자료!$A$1:$BB$74,"C2",$K$8:$K$9),"")</f>
        <v>5</v>
      </c>
    </row>
    <row r="142" spans="1:7" x14ac:dyDescent="0.45">
      <c r="A142" s="16" t="s">
        <v>68</v>
      </c>
      <c r="B142" s="16" t="s">
        <v>430</v>
      </c>
      <c r="C142" s="9">
        <f>IFERROR(DCOUNT(코딩자료!$A$1:$BB$74,"C3",$K$2:$L$3),"")</f>
        <v>32</v>
      </c>
      <c r="D142" s="22">
        <f>IFERROR(DAVERAGE(코딩자료!$A$1:$BB$74,"C3",$K$2:$L$3),"")</f>
        <v>3.46875</v>
      </c>
      <c r="E142" s="22">
        <f>IFERROR(DSTDEV(코딩자료!$A$1:$BB$74,"C3",$K$2:$L$3),"")</f>
        <v>1.2947630247742561</v>
      </c>
      <c r="F142" s="23">
        <f>IFERROR(DMIN(코딩자료!$A$1:$BB$74,"C3",$K$2:$L$3),"")</f>
        <v>1</v>
      </c>
      <c r="G142" s="23">
        <f>IFERROR(DMAX(코딩자료!$A$1:$BB$74,"C3",$K$2:$L$3),"")</f>
        <v>5</v>
      </c>
    </row>
    <row r="143" spans="1:7" x14ac:dyDescent="0.45">
      <c r="A143" s="16"/>
      <c r="B143" s="16" t="s">
        <v>441</v>
      </c>
      <c r="C143" s="9">
        <f>IFERROR(DCOUNT(코딩자료!$A$1:$BB$74,"C3",$K$5:$L$6),"")</f>
        <v>39</v>
      </c>
      <c r="D143" s="22">
        <f>IFERROR(DAVERAGE(코딩자료!$A$1:$BB$74,"C3",$K$5:$L$6),"")</f>
        <v>3.641025641025641</v>
      </c>
      <c r="E143" s="22">
        <f>IFERROR(DSTDEV(코딩자료!$A$1:$BB$74,"C3",$K$5:$L$6),"")</f>
        <v>1.135252800207015</v>
      </c>
      <c r="F143" s="23">
        <f>IFERROR(DMIN(코딩자료!$A$1:$BB$74,"C3",$K$5:$L$6),"")</f>
        <v>1</v>
      </c>
      <c r="G143" s="23">
        <f>IFERROR(DMAX(코딩자료!$A$1:$BB$74,"C3",$K$5:$L$6),"")</f>
        <v>5</v>
      </c>
    </row>
    <row r="144" spans="1:7" x14ac:dyDescent="0.45">
      <c r="A144" s="16"/>
      <c r="B144" s="16" t="s">
        <v>444</v>
      </c>
      <c r="C144" s="9">
        <f>IFERROR(DCOUNT(코딩자료!$A$1:$BB$74,"C3",$K$8:$K$9),"")</f>
        <v>71</v>
      </c>
      <c r="D144" s="22">
        <f>IFERROR(DAVERAGE(코딩자료!$A$1:$BB$74,"C3",$K$8:$K$9),"")</f>
        <v>3.563380281690141</v>
      </c>
      <c r="E144" s="22">
        <f>IFERROR(DSTDEV(코딩자료!$A$1:$BB$74,"C3",$K$8:$K$9),"")</f>
        <v>1.2039505728605921</v>
      </c>
      <c r="F144" s="23">
        <f>IFERROR(DMIN(코딩자료!$A$1:$BB$74,"C3",$K$8:$K$9),"")</f>
        <v>1</v>
      </c>
      <c r="G144" s="23">
        <f>IFERROR(DMAX(코딩자료!$A$1:$BB$74,"C3",$K$8:$K$9),"")</f>
        <v>5</v>
      </c>
    </row>
    <row r="145" spans="1:7" x14ac:dyDescent="0.45">
      <c r="A145" s="16" t="s">
        <v>69</v>
      </c>
      <c r="B145" s="16" t="s">
        <v>430</v>
      </c>
      <c r="C145" s="9">
        <f>IFERROR(DCOUNT(코딩자료!$A$1:$BB$74,"C4",$K$2:$L$3),"")</f>
        <v>32</v>
      </c>
      <c r="D145" s="22">
        <f>IFERROR(DAVERAGE(코딩자료!$A$1:$BB$74,"C4",$K$2:$L$3),"")</f>
        <v>3.28125</v>
      </c>
      <c r="E145" s="22">
        <f>IFERROR(DSTDEV(코딩자료!$A$1:$BB$74,"C4",$K$2:$L$3),"")</f>
        <v>1.2243332616097102</v>
      </c>
      <c r="F145" s="23">
        <f>IFERROR(DMIN(코딩자료!$A$1:$BB$74,"C4",$K$2:$L$3),"")</f>
        <v>1</v>
      </c>
      <c r="G145" s="23">
        <f>IFERROR(DMAX(코딩자료!$A$1:$BB$74,"C4",$K$2:$L$3),"")</f>
        <v>5</v>
      </c>
    </row>
    <row r="146" spans="1:7" x14ac:dyDescent="0.45">
      <c r="A146" s="16"/>
      <c r="B146" s="16" t="s">
        <v>441</v>
      </c>
      <c r="C146" s="9">
        <f>IFERROR(DCOUNT(코딩자료!$A$1:$BB$74,"C4",$K$5:$L$6),"")</f>
        <v>39</v>
      </c>
      <c r="D146" s="22">
        <f>IFERROR(DAVERAGE(코딩자료!$A$1:$BB$74,"C4",$K$5:$L$6),"")</f>
        <v>3.4615384615384617</v>
      </c>
      <c r="E146" s="22">
        <f>IFERROR(DSTDEV(코딩자료!$A$1:$BB$74,"C4",$K$5:$L$6),"")</f>
        <v>1.1886780327687747</v>
      </c>
      <c r="F146" s="23">
        <f>IFERROR(DMIN(코딩자료!$A$1:$BB$74,"C4",$K$5:$L$6),"")</f>
        <v>1</v>
      </c>
      <c r="G146" s="23">
        <f>IFERROR(DMAX(코딩자료!$A$1:$BB$74,"C4",$K$5:$L$6),"")</f>
        <v>5</v>
      </c>
    </row>
    <row r="147" spans="1:7" x14ac:dyDescent="0.45">
      <c r="A147" s="16"/>
      <c r="B147" s="16" t="s">
        <v>444</v>
      </c>
      <c r="C147" s="9">
        <f>IFERROR(DCOUNT(코딩자료!$A$1:$BB$74,"C4",$K$8:$K$9),"")</f>
        <v>71</v>
      </c>
      <c r="D147" s="22">
        <f>IFERROR(DAVERAGE(코딩자료!$A$1:$BB$74,"C4",$K$8:$K$9),"")</f>
        <v>3.380281690140845</v>
      </c>
      <c r="E147" s="22">
        <f>IFERROR(DSTDEV(코딩자료!$A$1:$BB$74,"C4",$K$8:$K$9),"")</f>
        <v>1.1995975180165168</v>
      </c>
      <c r="F147" s="23">
        <f>IFERROR(DMIN(코딩자료!$A$1:$BB$74,"C4",$K$8:$K$9),"")</f>
        <v>1</v>
      </c>
      <c r="G147" s="23">
        <f>IFERROR(DMAX(코딩자료!$A$1:$BB$74,"C4",$K$8:$K$9),"")</f>
        <v>5</v>
      </c>
    </row>
  </sheetData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6" customWidth="1"/>
    <col min="2" max="2" width="18" customWidth="1"/>
    <col min="3" max="3" width="22" customWidth="1"/>
    <col min="4" max="4" width="14" customWidth="1"/>
    <col min="5" max="5" width="70" customWidth="1"/>
    <col min="6" max="6" width="55" customWidth="1"/>
    <col min="7" max="7" width="18" customWidth="1"/>
  </cols>
  <sheetData>
    <row r="1" spans="1:7" x14ac:dyDescent="0.45">
      <c r="A1" s="4" t="s">
        <v>492</v>
      </c>
      <c r="B1" s="4" t="s">
        <v>432</v>
      </c>
      <c r="C1" s="4" t="s">
        <v>42</v>
      </c>
      <c r="D1" s="4" t="s">
        <v>493</v>
      </c>
      <c r="E1" s="4" t="s">
        <v>494</v>
      </c>
      <c r="F1" s="4" t="s">
        <v>495</v>
      </c>
      <c r="G1" s="4" t="s">
        <v>496</v>
      </c>
    </row>
    <row r="2" spans="1:7" ht="32" x14ac:dyDescent="0.45">
      <c r="A2" s="11">
        <v>1</v>
      </c>
      <c r="B2" s="11" t="s">
        <v>497</v>
      </c>
      <c r="C2" s="11" t="s">
        <v>498</v>
      </c>
      <c r="D2" s="11" t="s">
        <v>498</v>
      </c>
      <c r="E2" s="11" t="s">
        <v>499</v>
      </c>
      <c r="F2" s="11" t="s">
        <v>500</v>
      </c>
      <c r="G2" s="11" t="s">
        <v>501</v>
      </c>
    </row>
    <row r="3" spans="1:7" ht="48" x14ac:dyDescent="0.45">
      <c r="A3" s="11">
        <v>2</v>
      </c>
      <c r="B3" s="11" t="s">
        <v>497</v>
      </c>
      <c r="C3" s="11" t="s">
        <v>498</v>
      </c>
      <c r="D3" s="11" t="s">
        <v>498</v>
      </c>
      <c r="E3" s="11" t="s">
        <v>502</v>
      </c>
      <c r="F3" s="11" t="s">
        <v>503</v>
      </c>
      <c r="G3" s="11" t="s">
        <v>501</v>
      </c>
    </row>
    <row r="4" spans="1:7" x14ac:dyDescent="0.45">
      <c r="A4" s="11">
        <v>3</v>
      </c>
      <c r="B4" s="11" t="s">
        <v>504</v>
      </c>
      <c r="C4" s="11" t="s">
        <v>505</v>
      </c>
      <c r="D4" s="11" t="s">
        <v>506</v>
      </c>
      <c r="E4" s="11" t="s">
        <v>507</v>
      </c>
      <c r="F4" s="11" t="s">
        <v>508</v>
      </c>
      <c r="G4" s="11" t="s">
        <v>509</v>
      </c>
    </row>
    <row r="5" spans="1:7" x14ac:dyDescent="0.45">
      <c r="A5" s="11">
        <v>4</v>
      </c>
      <c r="B5" s="11" t="s">
        <v>504</v>
      </c>
      <c r="C5" s="11" t="s">
        <v>204</v>
      </c>
      <c r="D5" s="11" t="s">
        <v>510</v>
      </c>
      <c r="E5" s="11" t="s">
        <v>511</v>
      </c>
      <c r="F5" s="11" t="s">
        <v>512</v>
      </c>
      <c r="G5" s="11" t="s">
        <v>501</v>
      </c>
    </row>
    <row r="6" spans="1:7" ht="32" x14ac:dyDescent="0.45">
      <c r="A6" s="11">
        <v>5</v>
      </c>
      <c r="B6" s="11" t="s">
        <v>497</v>
      </c>
      <c r="C6" s="11" t="s">
        <v>513</v>
      </c>
      <c r="D6" s="11" t="s">
        <v>514</v>
      </c>
      <c r="E6" s="11" t="s">
        <v>515</v>
      </c>
      <c r="F6" s="11" t="s">
        <v>516</v>
      </c>
      <c r="G6" s="11" t="s">
        <v>501</v>
      </c>
    </row>
    <row r="7" spans="1:7" ht="32" x14ac:dyDescent="0.45">
      <c r="A7" s="11">
        <v>6</v>
      </c>
      <c r="B7" s="11" t="s">
        <v>497</v>
      </c>
      <c r="C7" s="11" t="s">
        <v>498</v>
      </c>
      <c r="D7" s="11" t="s">
        <v>498</v>
      </c>
      <c r="E7" s="11" t="s">
        <v>517</v>
      </c>
      <c r="F7" s="11" t="s">
        <v>518</v>
      </c>
      <c r="G7" s="11" t="s">
        <v>509</v>
      </c>
    </row>
    <row r="8" spans="1:7" x14ac:dyDescent="0.45">
      <c r="A8" s="11">
        <v>7</v>
      </c>
      <c r="B8" s="11" t="s">
        <v>519</v>
      </c>
      <c r="C8" s="11" t="s">
        <v>498</v>
      </c>
      <c r="D8" s="11" t="s">
        <v>498</v>
      </c>
      <c r="E8" s="11" t="s">
        <v>520</v>
      </c>
      <c r="F8" s="11" t="s">
        <v>521</v>
      </c>
      <c r="G8" s="11" t="s">
        <v>501</v>
      </c>
    </row>
    <row r="9" spans="1:7" ht="48" x14ac:dyDescent="0.45">
      <c r="A9" s="11">
        <v>8</v>
      </c>
      <c r="B9" s="11" t="s">
        <v>522</v>
      </c>
      <c r="C9" s="11" t="s">
        <v>523</v>
      </c>
      <c r="D9" s="11" t="s">
        <v>498</v>
      </c>
      <c r="E9" s="11" t="s">
        <v>524</v>
      </c>
      <c r="F9" s="11" t="s">
        <v>525</v>
      </c>
      <c r="G9" s="11" t="s">
        <v>501</v>
      </c>
    </row>
    <row r="10" spans="1:7" ht="32" x14ac:dyDescent="0.45">
      <c r="A10" s="11">
        <v>9</v>
      </c>
      <c r="B10" s="11" t="s">
        <v>526</v>
      </c>
      <c r="C10" s="11" t="s">
        <v>84</v>
      </c>
      <c r="D10" s="11">
        <v>2</v>
      </c>
      <c r="E10" s="11" t="s">
        <v>527</v>
      </c>
      <c r="F10" s="11" t="s">
        <v>528</v>
      </c>
      <c r="G10" s="11" t="s">
        <v>529</v>
      </c>
    </row>
    <row r="11" spans="1:7" ht="32" x14ac:dyDescent="0.45">
      <c r="A11" s="11">
        <v>10</v>
      </c>
      <c r="B11" s="11" t="s">
        <v>526</v>
      </c>
      <c r="C11" s="11" t="s">
        <v>97</v>
      </c>
      <c r="D11" s="11">
        <v>3</v>
      </c>
      <c r="E11" s="11" t="s">
        <v>530</v>
      </c>
      <c r="F11" s="11" t="s">
        <v>531</v>
      </c>
      <c r="G11" s="11" t="s">
        <v>529</v>
      </c>
    </row>
    <row r="12" spans="1:7" ht="32" x14ac:dyDescent="0.45">
      <c r="A12" s="11">
        <v>11</v>
      </c>
      <c r="B12" s="11" t="s">
        <v>532</v>
      </c>
      <c r="C12" s="11" t="s">
        <v>155</v>
      </c>
      <c r="D12" s="11">
        <v>31</v>
      </c>
      <c r="E12" s="11" t="s">
        <v>533</v>
      </c>
      <c r="F12" s="11" t="s">
        <v>534</v>
      </c>
      <c r="G12" s="11" t="s">
        <v>535</v>
      </c>
    </row>
    <row r="13" spans="1:7" ht="32" x14ac:dyDescent="0.45">
      <c r="A13" s="11">
        <v>12</v>
      </c>
      <c r="B13" s="11" t="s">
        <v>536</v>
      </c>
      <c r="C13" s="11" t="s">
        <v>537</v>
      </c>
      <c r="D13" s="11" t="s">
        <v>538</v>
      </c>
      <c r="E13" s="11" t="s">
        <v>539</v>
      </c>
      <c r="F13" s="11" t="s">
        <v>540</v>
      </c>
      <c r="G13" s="11" t="s">
        <v>501</v>
      </c>
    </row>
    <row r="14" spans="1:7" ht="48" x14ac:dyDescent="0.45">
      <c r="A14" s="11">
        <v>13</v>
      </c>
      <c r="B14" s="11" t="s">
        <v>541</v>
      </c>
      <c r="C14" s="11" t="s">
        <v>542</v>
      </c>
      <c r="D14" s="11" t="s">
        <v>543</v>
      </c>
      <c r="E14" s="11" t="s">
        <v>544</v>
      </c>
      <c r="F14" s="11" t="s">
        <v>545</v>
      </c>
      <c r="G14" s="11" t="s">
        <v>509</v>
      </c>
    </row>
    <row r="15" spans="1:7" ht="48" x14ac:dyDescent="0.45">
      <c r="A15" s="11">
        <v>14</v>
      </c>
      <c r="B15" s="11" t="s">
        <v>546</v>
      </c>
      <c r="C15" s="11" t="s">
        <v>547</v>
      </c>
      <c r="D15" s="11" t="s">
        <v>548</v>
      </c>
      <c r="E15" s="11" t="s">
        <v>549</v>
      </c>
      <c r="F15" s="11" t="s">
        <v>550</v>
      </c>
      <c r="G15" s="11" t="s">
        <v>509</v>
      </c>
    </row>
    <row r="16" spans="1:7" ht="32" x14ac:dyDescent="0.45">
      <c r="A16" s="11">
        <v>15</v>
      </c>
      <c r="B16" s="11" t="s">
        <v>551</v>
      </c>
      <c r="C16" s="11" t="s">
        <v>552</v>
      </c>
      <c r="D16" s="11" t="s">
        <v>553</v>
      </c>
      <c r="E16" s="11" t="s">
        <v>554</v>
      </c>
      <c r="F16" s="11" t="s">
        <v>555</v>
      </c>
      <c r="G16" s="11" t="s">
        <v>509</v>
      </c>
    </row>
    <row r="17" spans="1:7" ht="32" x14ac:dyDescent="0.45">
      <c r="A17" s="11">
        <v>16</v>
      </c>
      <c r="B17" s="11" t="s">
        <v>556</v>
      </c>
      <c r="C17" s="11" t="s">
        <v>155</v>
      </c>
      <c r="D17" s="11">
        <v>31</v>
      </c>
      <c r="E17" s="11" t="s">
        <v>557</v>
      </c>
      <c r="F17" s="11" t="s">
        <v>558</v>
      </c>
      <c r="G17" s="11" t="s">
        <v>501</v>
      </c>
    </row>
    <row r="18" spans="1:7" ht="32" x14ac:dyDescent="0.45">
      <c r="A18" s="11">
        <v>17</v>
      </c>
      <c r="B18" s="11" t="s">
        <v>556</v>
      </c>
      <c r="C18" s="11" t="s">
        <v>183</v>
      </c>
      <c r="D18" s="11">
        <v>51</v>
      </c>
      <c r="E18" s="11" t="s">
        <v>557</v>
      </c>
      <c r="F18" s="11" t="s">
        <v>558</v>
      </c>
      <c r="G18" s="11" t="s">
        <v>501</v>
      </c>
    </row>
    <row r="19" spans="1:7" x14ac:dyDescent="0.45">
      <c r="A19" s="11">
        <v>18</v>
      </c>
      <c r="B19" s="11" t="s">
        <v>559</v>
      </c>
      <c r="C19" s="11" t="s">
        <v>498</v>
      </c>
      <c r="D19" s="11" t="s">
        <v>498</v>
      </c>
      <c r="E19" s="11" t="s">
        <v>560</v>
      </c>
      <c r="F19" s="11" t="s">
        <v>561</v>
      </c>
      <c r="G19" s="11" t="s">
        <v>501</v>
      </c>
    </row>
    <row r="20" spans="1:7" x14ac:dyDescent="0.45">
      <c r="A20" s="11">
        <v>19</v>
      </c>
      <c r="B20" s="11" t="s">
        <v>562</v>
      </c>
      <c r="C20" s="11" t="s">
        <v>498</v>
      </c>
      <c r="D20" s="11" t="s">
        <v>498</v>
      </c>
      <c r="E20" s="11" t="s">
        <v>563</v>
      </c>
      <c r="F20" s="11" t="s">
        <v>564</v>
      </c>
      <c r="G20" s="11" t="s">
        <v>501</v>
      </c>
    </row>
    <row r="21" spans="1:7" x14ac:dyDescent="0.45">
      <c r="A21" s="11">
        <v>20</v>
      </c>
      <c r="B21" s="11" t="s">
        <v>562</v>
      </c>
      <c r="C21" s="11" t="s">
        <v>498</v>
      </c>
      <c r="D21" s="11" t="s">
        <v>498</v>
      </c>
      <c r="E21" s="11" t="s">
        <v>565</v>
      </c>
      <c r="F21" s="11" t="s">
        <v>564</v>
      </c>
      <c r="G21" s="11" t="s">
        <v>501</v>
      </c>
    </row>
    <row r="22" spans="1:7" ht="32" x14ac:dyDescent="0.45">
      <c r="A22" s="11">
        <v>21</v>
      </c>
      <c r="B22" s="11" t="s">
        <v>566</v>
      </c>
      <c r="C22" s="11" t="s">
        <v>498</v>
      </c>
      <c r="D22" s="11" t="s">
        <v>498</v>
      </c>
      <c r="E22" s="11" t="s">
        <v>567</v>
      </c>
      <c r="F22" s="11" t="s">
        <v>568</v>
      </c>
      <c r="G22" s="11" t="s">
        <v>501</v>
      </c>
    </row>
    <row r="23" spans="1:7" x14ac:dyDescent="0.45">
      <c r="A23" s="11">
        <v>22</v>
      </c>
      <c r="B23" s="11" t="s">
        <v>562</v>
      </c>
      <c r="C23" s="11" t="s">
        <v>498</v>
      </c>
      <c r="D23" s="11" t="s">
        <v>498</v>
      </c>
      <c r="E23" s="11" t="s">
        <v>569</v>
      </c>
      <c r="F23" s="11" t="s">
        <v>570</v>
      </c>
      <c r="G23" s="11" t="s">
        <v>501</v>
      </c>
    </row>
    <row r="24" spans="1:7" ht="32" x14ac:dyDescent="0.45">
      <c r="A24" s="11">
        <v>23</v>
      </c>
      <c r="B24" s="11" t="s">
        <v>504</v>
      </c>
      <c r="C24" s="11" t="s">
        <v>498</v>
      </c>
      <c r="D24" s="11" t="s">
        <v>498</v>
      </c>
      <c r="E24" s="11" t="s">
        <v>571</v>
      </c>
      <c r="F24" s="11" t="s">
        <v>572</v>
      </c>
      <c r="G24" s="11" t="s">
        <v>501</v>
      </c>
    </row>
  </sheetData>
  <autoFilter ref="A1:G24" xr:uid="{00000000-0009-0000-0000-000006000000}"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README</vt:lpstr>
      <vt:lpstr>원자료_통합</vt:lpstr>
      <vt:lpstr>코딩자료</vt:lpstr>
      <vt:lpstr>분석자료</vt:lpstr>
      <vt:lpstr>코드북</vt:lpstr>
      <vt:lpstr>빈도_기술통계</vt:lpstr>
      <vt:lpstr>검토메모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Hyuk Yoon</cp:lastModifiedBy>
  <dcterms:created xsi:type="dcterms:W3CDTF">2026-10-24T00:03:46Z</dcterms:created>
  <dcterms:modified xsi:type="dcterms:W3CDTF">2026-10-24T00:03:48Z</dcterms:modified>
</cp:coreProperties>
</file>